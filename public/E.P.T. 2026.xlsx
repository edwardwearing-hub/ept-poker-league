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xr:revisionPtr revIDLastSave="0" documentId="13_ncr:1_{E53588B2-0296-4AF9-A6D3-EEC2C375D57B}" xr6:coauthVersionLast="47" xr6:coauthVersionMax="47" xr10:uidLastSave="{00000000-0000-0000-0000-000000000000}"/>
  <workbookProtection lockStructure="1"/>
  <bookViews>
    <workbookView xWindow="-28920" yWindow="-45" windowWidth="29040" windowHeight="15720" activeTab="1" xr2:uid="{588ED7A1-ACF5-4A27-8D77-690D98207547}"/>
  </bookViews>
  <sheets>
    <sheet name="Home Page" sheetId="14" r:id="rId1"/>
    <sheet name="Sheet1" sheetId="1" r:id="rId2"/>
    <sheet name="Sheet3" sheetId="3" state="hidden" r:id="rId3"/>
    <sheet name="Edward Wearing " sheetId="2" r:id="rId4"/>
    <sheet name="Georgina Wearing" sheetId="4" r:id="rId5"/>
    <sheet name="Luke Daly" sheetId="5" r:id="rId6"/>
    <sheet name="Daniel Horne" sheetId="6" r:id="rId7"/>
    <sheet name="Darren Daly" sheetId="7" r:id="rId8"/>
    <sheet name="Chris Daly" sheetId="8" r:id="rId9"/>
    <sheet name="Stephen Flood" sheetId="9" r:id="rId10"/>
    <sheet name="Phil Landsberger" sheetId="10" r:id="rId11"/>
    <sheet name="Liam Duxbury" sheetId="11" r:id="rId12"/>
    <sheet name="Nathen Benson" sheetId="12" r:id="rId13"/>
    <sheet name="Dave Taylor" sheetId="13" r:id="rId14"/>
  </sheets>
  <definedNames>
    <definedName name="points">Sheet3!$B$1:$B$5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11" i="1"/>
  <c r="F10" i="1"/>
  <c r="F9" i="1"/>
  <c r="F8" i="1"/>
  <c r="F7" i="1"/>
  <c r="AC9" i="1"/>
  <c r="L25" i="13"/>
  <c r="K25" i="13"/>
  <c r="J25" i="13"/>
  <c r="I25" i="13"/>
  <c r="H25" i="13"/>
  <c r="G25" i="13"/>
  <c r="F25" i="13"/>
  <c r="E25" i="13"/>
  <c r="D25" i="13"/>
  <c r="C25" i="13"/>
  <c r="B25" i="13"/>
  <c r="L25" i="12"/>
  <c r="K25" i="12"/>
  <c r="J25" i="12"/>
  <c r="I25" i="12"/>
  <c r="H25" i="12"/>
  <c r="G25" i="12"/>
  <c r="F25" i="12"/>
  <c r="E25" i="12"/>
  <c r="D25" i="12"/>
  <c r="C25" i="12"/>
  <c r="B25" i="12"/>
  <c r="L25" i="11"/>
  <c r="K25" i="11"/>
  <c r="J25" i="11"/>
  <c r="I25" i="11"/>
  <c r="H25" i="11"/>
  <c r="G25" i="11"/>
  <c r="F25" i="11"/>
  <c r="E25" i="11"/>
  <c r="D25" i="11"/>
  <c r="C25" i="11"/>
  <c r="B25" i="11"/>
  <c r="L25" i="10"/>
  <c r="K25" i="10"/>
  <c r="J25" i="10"/>
  <c r="I25" i="10"/>
  <c r="H25" i="10"/>
  <c r="G25" i="10"/>
  <c r="F25" i="10"/>
  <c r="E25" i="10"/>
  <c r="D25" i="10"/>
  <c r="C25" i="10"/>
  <c r="B25" i="10"/>
  <c r="L25" i="9"/>
  <c r="K25" i="9"/>
  <c r="J25" i="9"/>
  <c r="I25" i="9"/>
  <c r="H25" i="9"/>
  <c r="G25" i="9"/>
  <c r="F25" i="9"/>
  <c r="E25" i="9"/>
  <c r="D25" i="9"/>
  <c r="C25" i="9"/>
  <c r="B25" i="9"/>
  <c r="L25" i="8"/>
  <c r="K25" i="8"/>
  <c r="J25" i="8"/>
  <c r="I25" i="8"/>
  <c r="H25" i="8"/>
  <c r="G25" i="8"/>
  <c r="F25" i="8"/>
  <c r="E25" i="8"/>
  <c r="D25" i="8"/>
  <c r="C25" i="8"/>
  <c r="B25" i="8"/>
  <c r="L25" i="7"/>
  <c r="K25" i="7"/>
  <c r="J25" i="7"/>
  <c r="I25" i="7"/>
  <c r="H25" i="7"/>
  <c r="G25" i="7"/>
  <c r="F25" i="7"/>
  <c r="E25" i="7"/>
  <c r="D25" i="7"/>
  <c r="C25" i="7"/>
  <c r="B25" i="7"/>
  <c r="L25" i="6"/>
  <c r="K25" i="6"/>
  <c r="J25" i="6"/>
  <c r="I25" i="6"/>
  <c r="H25" i="6"/>
  <c r="G25" i="6"/>
  <c r="F25" i="6"/>
  <c r="E25" i="6"/>
  <c r="D25" i="6"/>
  <c r="C25" i="6"/>
  <c r="B25" i="6"/>
  <c r="L25" i="5"/>
  <c r="K25" i="5"/>
  <c r="J25" i="5"/>
  <c r="I25" i="5"/>
  <c r="H25" i="5"/>
  <c r="G25" i="5"/>
  <c r="F25" i="5"/>
  <c r="E25" i="5"/>
  <c r="D25" i="5"/>
  <c r="C25" i="5"/>
  <c r="B25" i="5"/>
  <c r="L25" i="4"/>
  <c r="K25" i="4"/>
  <c r="J25" i="4"/>
  <c r="I25" i="4"/>
  <c r="H25" i="4"/>
  <c r="G25" i="4"/>
  <c r="F25" i="4"/>
  <c r="E25" i="4"/>
  <c r="D25" i="4"/>
  <c r="C25" i="4"/>
  <c r="L25" i="2"/>
  <c r="K25" i="2"/>
  <c r="J25" i="2"/>
  <c r="I25" i="2"/>
  <c r="H25" i="2"/>
  <c r="G25" i="2"/>
  <c r="F25" i="2"/>
  <c r="E25" i="2"/>
  <c r="D25" i="2"/>
  <c r="C25" i="2"/>
  <c r="B25" i="4"/>
  <c r="B25" i="2"/>
  <c r="C37" i="13"/>
  <c r="D37" i="13"/>
  <c r="E37" i="13"/>
  <c r="F37" i="13"/>
  <c r="G37" i="13"/>
  <c r="H37" i="13"/>
  <c r="I37" i="13"/>
  <c r="J37" i="13"/>
  <c r="K37" i="13"/>
  <c r="L37" i="13"/>
  <c r="B37" i="13"/>
  <c r="A19" i="2"/>
  <c r="N27" i="2"/>
  <c r="B13" i="2"/>
  <c r="N33" i="13"/>
  <c r="M33" i="13"/>
  <c r="N32" i="13"/>
  <c r="M32" i="13"/>
  <c r="N31" i="13"/>
  <c r="M31" i="13"/>
  <c r="N30" i="13"/>
  <c r="M30" i="13"/>
  <c r="A19" i="13" s="1"/>
  <c r="N29" i="13"/>
  <c r="M29" i="13"/>
  <c r="N28" i="13"/>
  <c r="M28" i="13"/>
  <c r="N27" i="13"/>
  <c r="M27" i="13"/>
  <c r="B10" i="13"/>
  <c r="A10" i="13"/>
  <c r="B7" i="13"/>
  <c r="M48" i="13"/>
  <c r="M47" i="13"/>
  <c r="M46" i="13"/>
  <c r="M45" i="13"/>
  <c r="M44" i="13"/>
  <c r="M43" i="13"/>
  <c r="M42" i="13"/>
  <c r="M41" i="13"/>
  <c r="B19" i="13" s="1"/>
  <c r="M40" i="13"/>
  <c r="M39" i="13"/>
  <c r="M36" i="13"/>
  <c r="N36" i="13" s="1"/>
  <c r="M35" i="13"/>
  <c r="N35" i="13" s="1"/>
  <c r="M34" i="13"/>
  <c r="N34" i="13" s="1"/>
  <c r="A16" i="13"/>
  <c r="B13" i="13"/>
  <c r="L37" i="12"/>
  <c r="K37" i="12"/>
  <c r="J37" i="12"/>
  <c r="I37" i="12"/>
  <c r="H37" i="12"/>
  <c r="G37" i="12"/>
  <c r="F37" i="12"/>
  <c r="E37" i="12"/>
  <c r="D37" i="12"/>
  <c r="C37" i="12"/>
  <c r="B37" i="12"/>
  <c r="N32" i="12"/>
  <c r="M32" i="12"/>
  <c r="N31" i="12"/>
  <c r="M31" i="12"/>
  <c r="N30" i="12"/>
  <c r="M30" i="12"/>
  <c r="M29" i="12"/>
  <c r="N28" i="12"/>
  <c r="M28" i="12"/>
  <c r="A19" i="12" s="1"/>
  <c r="N27" i="12"/>
  <c r="M27" i="12"/>
  <c r="B10" i="12"/>
  <c r="A10" i="12"/>
  <c r="B7" i="12"/>
  <c r="M48" i="12"/>
  <c r="N36" i="12" s="1"/>
  <c r="M47" i="12"/>
  <c r="M46" i="12"/>
  <c r="M45" i="12"/>
  <c r="M44" i="12"/>
  <c r="M43" i="12"/>
  <c r="M42" i="12"/>
  <c r="M41" i="12"/>
  <c r="N29" i="12" s="1"/>
  <c r="M40" i="12"/>
  <c r="M39" i="12"/>
  <c r="M36" i="12"/>
  <c r="M35" i="12"/>
  <c r="N35" i="12" s="1"/>
  <c r="N34" i="12"/>
  <c r="M34" i="12"/>
  <c r="N33" i="12"/>
  <c r="M33" i="12"/>
  <c r="A16" i="12"/>
  <c r="B13" i="12"/>
  <c r="L37" i="11"/>
  <c r="K37" i="11"/>
  <c r="J37" i="11"/>
  <c r="I37" i="11"/>
  <c r="H37" i="11"/>
  <c r="G37" i="11"/>
  <c r="F37" i="11"/>
  <c r="E37" i="11"/>
  <c r="D37" i="11"/>
  <c r="C37" i="11"/>
  <c r="B37" i="11"/>
  <c r="M31" i="11"/>
  <c r="M30" i="11"/>
  <c r="M29" i="11"/>
  <c r="M28" i="11"/>
  <c r="M27" i="11"/>
  <c r="B10" i="11"/>
  <c r="A10" i="11"/>
  <c r="B7" i="11"/>
  <c r="M48" i="11"/>
  <c r="M47" i="11"/>
  <c r="M46" i="11"/>
  <c r="M45" i="11"/>
  <c r="M44" i="11"/>
  <c r="M43" i="11"/>
  <c r="M42" i="11"/>
  <c r="M41" i="11"/>
  <c r="M40" i="11"/>
  <c r="M39" i="11"/>
  <c r="B19" i="11" s="1"/>
  <c r="M36" i="11"/>
  <c r="N36" i="11" s="1"/>
  <c r="N35" i="11"/>
  <c r="M35" i="11"/>
  <c r="M34" i="11"/>
  <c r="N34" i="11" s="1"/>
  <c r="N33" i="11"/>
  <c r="M33" i="11"/>
  <c r="M32" i="11"/>
  <c r="N32" i="11" s="1"/>
  <c r="A16" i="11"/>
  <c r="B13" i="11"/>
  <c r="A19" i="10"/>
  <c r="B19" i="10"/>
  <c r="N34" i="10"/>
  <c r="M31" i="10"/>
  <c r="L37" i="10"/>
  <c r="K37" i="10"/>
  <c r="J37" i="10"/>
  <c r="I37" i="10"/>
  <c r="H37" i="10"/>
  <c r="G37" i="10"/>
  <c r="F37" i="10"/>
  <c r="E37" i="10"/>
  <c r="D37" i="10"/>
  <c r="C37" i="10"/>
  <c r="B37" i="10"/>
  <c r="N30" i="10"/>
  <c r="M30" i="10"/>
  <c r="N29" i="10"/>
  <c r="M29" i="10"/>
  <c r="N28" i="10"/>
  <c r="M28" i="10"/>
  <c r="N27" i="10"/>
  <c r="M27" i="10"/>
  <c r="B10" i="10"/>
  <c r="A10" i="10"/>
  <c r="B7" i="10"/>
  <c r="M48" i="10"/>
  <c r="M47" i="10"/>
  <c r="M46" i="10"/>
  <c r="M45" i="10"/>
  <c r="N33" i="10" s="1"/>
  <c r="M44" i="10"/>
  <c r="M43" i="10"/>
  <c r="M42" i="10"/>
  <c r="M41" i="10"/>
  <c r="M40" i="10"/>
  <c r="M39" i="10"/>
  <c r="N36" i="10"/>
  <c r="M36" i="10"/>
  <c r="N35" i="10"/>
  <c r="M35" i="10"/>
  <c r="M34" i="10"/>
  <c r="M33" i="10"/>
  <c r="M32" i="10"/>
  <c r="N32" i="10" s="1"/>
  <c r="N31" i="10"/>
  <c r="A16" i="10"/>
  <c r="B13" i="10"/>
  <c r="B19" i="9"/>
  <c r="L37" i="9"/>
  <c r="K37" i="9"/>
  <c r="J37" i="9"/>
  <c r="I37" i="9"/>
  <c r="H37" i="9"/>
  <c r="G37" i="9"/>
  <c r="F37" i="9"/>
  <c r="E37" i="9"/>
  <c r="D37" i="9"/>
  <c r="C37" i="9"/>
  <c r="B37" i="9"/>
  <c r="N29" i="9"/>
  <c r="M29" i="9"/>
  <c r="N28" i="9"/>
  <c r="M28" i="9"/>
  <c r="N27" i="9"/>
  <c r="M27" i="9"/>
  <c r="A19" i="9" s="1"/>
  <c r="B10" i="9"/>
  <c r="A10" i="9"/>
  <c r="B7" i="9"/>
  <c r="M48" i="9"/>
  <c r="M47" i="9"/>
  <c r="M46" i="9"/>
  <c r="M45" i="9"/>
  <c r="M44" i="9"/>
  <c r="M43" i="9"/>
  <c r="M42" i="9"/>
  <c r="M41" i="9"/>
  <c r="M40" i="9"/>
  <c r="M39" i="9"/>
  <c r="M36" i="9"/>
  <c r="N36" i="9" s="1"/>
  <c r="M35" i="9"/>
  <c r="N35" i="9" s="1"/>
  <c r="M34" i="9"/>
  <c r="N34" i="9" s="1"/>
  <c r="N33" i="9"/>
  <c r="M33" i="9"/>
  <c r="N32" i="9"/>
  <c r="M32" i="9"/>
  <c r="M31" i="9"/>
  <c r="N31" i="9" s="1"/>
  <c r="M30" i="9"/>
  <c r="N30" i="9" s="1"/>
  <c r="A16" i="9"/>
  <c r="B13" i="9"/>
  <c r="A16" i="8"/>
  <c r="B10" i="8"/>
  <c r="A10" i="8"/>
  <c r="B7" i="8"/>
  <c r="M48" i="8"/>
  <c r="M47" i="8"/>
  <c r="M46" i="8"/>
  <c r="M45" i="8"/>
  <c r="M44" i="8"/>
  <c r="M43" i="8"/>
  <c r="M42" i="8"/>
  <c r="M41" i="8"/>
  <c r="M40" i="8"/>
  <c r="M39" i="8"/>
  <c r="B19" i="8" s="1"/>
  <c r="L37" i="8"/>
  <c r="K37" i="8"/>
  <c r="J37" i="8"/>
  <c r="I37" i="8"/>
  <c r="H37" i="8"/>
  <c r="G37" i="8"/>
  <c r="F37" i="8"/>
  <c r="E37" i="8"/>
  <c r="D37" i="8"/>
  <c r="C37" i="8"/>
  <c r="B37" i="8"/>
  <c r="M36" i="8"/>
  <c r="N36" i="8" s="1"/>
  <c r="M35" i="8"/>
  <c r="N35" i="8" s="1"/>
  <c r="M34" i="8"/>
  <c r="N34" i="8" s="1"/>
  <c r="M33" i="8"/>
  <c r="M32" i="8"/>
  <c r="N32" i="8" s="1"/>
  <c r="M31" i="8"/>
  <c r="N31" i="8" s="1"/>
  <c r="M30" i="8"/>
  <c r="N30" i="8" s="1"/>
  <c r="M29" i="8"/>
  <c r="N29" i="8" s="1"/>
  <c r="M28" i="8"/>
  <c r="N27" i="8"/>
  <c r="M27" i="8"/>
  <c r="A19" i="8" s="1"/>
  <c r="B13" i="8"/>
  <c r="A16" i="7"/>
  <c r="B19" i="7"/>
  <c r="L37" i="7"/>
  <c r="K37" i="7"/>
  <c r="J37" i="7"/>
  <c r="I37" i="7"/>
  <c r="H37" i="7"/>
  <c r="G37" i="7"/>
  <c r="F37" i="7"/>
  <c r="E37" i="7"/>
  <c r="D37" i="7"/>
  <c r="C37" i="7"/>
  <c r="B37" i="7"/>
  <c r="N28" i="7"/>
  <c r="M28" i="7"/>
  <c r="N27" i="7"/>
  <c r="M27" i="7"/>
  <c r="B10" i="7"/>
  <c r="A10" i="7"/>
  <c r="B7" i="7"/>
  <c r="M48" i="7"/>
  <c r="M47" i="7"/>
  <c r="M46" i="7"/>
  <c r="M45" i="7"/>
  <c r="M44" i="7"/>
  <c r="M43" i="7"/>
  <c r="M42" i="7"/>
  <c r="M41" i="7"/>
  <c r="M40" i="7"/>
  <c r="M39" i="7"/>
  <c r="M36" i="7"/>
  <c r="N36" i="7" s="1"/>
  <c r="M35" i="7"/>
  <c r="M34" i="7"/>
  <c r="N34" i="7" s="1"/>
  <c r="M33" i="7"/>
  <c r="N33" i="7" s="1"/>
  <c r="M32" i="7"/>
  <c r="N32" i="7" s="1"/>
  <c r="M31" i="7"/>
  <c r="N31" i="7" s="1"/>
  <c r="M30" i="7"/>
  <c r="M29" i="7"/>
  <c r="B13" i="7"/>
  <c r="B13" i="6"/>
  <c r="B13" i="4"/>
  <c r="B13" i="5"/>
  <c r="L37" i="6"/>
  <c r="K37" i="6"/>
  <c r="J37" i="6"/>
  <c r="I37" i="6"/>
  <c r="H37" i="6"/>
  <c r="G37" i="6"/>
  <c r="F37" i="6"/>
  <c r="E37" i="6"/>
  <c r="D37" i="6"/>
  <c r="C37" i="6"/>
  <c r="B37" i="6"/>
  <c r="M28" i="6"/>
  <c r="N28" i="6" s="1"/>
  <c r="N27" i="6"/>
  <c r="M27" i="6"/>
  <c r="A19" i="6" s="1"/>
  <c r="B10" i="6"/>
  <c r="A10" i="6"/>
  <c r="B7" i="6"/>
  <c r="M48" i="6"/>
  <c r="M47" i="6"/>
  <c r="N35" i="6" s="1"/>
  <c r="M46" i="6"/>
  <c r="M45" i="6"/>
  <c r="M44" i="6"/>
  <c r="M43" i="6"/>
  <c r="M42" i="6"/>
  <c r="M41" i="6"/>
  <c r="M40" i="6"/>
  <c r="M39" i="6"/>
  <c r="M36" i="6"/>
  <c r="N36" i="6" s="1"/>
  <c r="M35" i="6"/>
  <c r="M34" i="6"/>
  <c r="N34" i="6" s="1"/>
  <c r="M33" i="6"/>
  <c r="N33" i="6" s="1"/>
  <c r="M32" i="6"/>
  <c r="N32" i="6" s="1"/>
  <c r="M31" i="6"/>
  <c r="N31" i="6" s="1"/>
  <c r="M30" i="6"/>
  <c r="N30" i="6" s="1"/>
  <c r="M29" i="6"/>
  <c r="N29" i="6" s="1"/>
  <c r="A16" i="6"/>
  <c r="B10" i="5"/>
  <c r="A10" i="5"/>
  <c r="B7" i="5"/>
  <c r="M48" i="5"/>
  <c r="M47" i="5"/>
  <c r="M46" i="5"/>
  <c r="M45" i="5"/>
  <c r="M44" i="5"/>
  <c r="M43" i="5"/>
  <c r="M42" i="5"/>
  <c r="M41" i="5"/>
  <c r="M40" i="5"/>
  <c r="M39" i="5"/>
  <c r="L37" i="5"/>
  <c r="K37" i="5"/>
  <c r="J37" i="5"/>
  <c r="I37" i="5"/>
  <c r="H37" i="5"/>
  <c r="G37" i="5"/>
  <c r="F37" i="5"/>
  <c r="E37" i="5"/>
  <c r="D37" i="5"/>
  <c r="C37" i="5"/>
  <c r="B37" i="5"/>
  <c r="M36" i="5"/>
  <c r="N36" i="5" s="1"/>
  <c r="M35" i="5"/>
  <c r="N35" i="5" s="1"/>
  <c r="M34" i="5"/>
  <c r="N33" i="5"/>
  <c r="M33" i="5"/>
  <c r="M32" i="5"/>
  <c r="M31" i="5"/>
  <c r="M30" i="5"/>
  <c r="N30" i="5" s="1"/>
  <c r="M29" i="5"/>
  <c r="N29" i="5" s="1"/>
  <c r="M28" i="5"/>
  <c r="N28" i="5" s="1"/>
  <c r="M27" i="5"/>
  <c r="N27" i="5" s="1"/>
  <c r="A16" i="5"/>
  <c r="A16" i="4"/>
  <c r="B10" i="4"/>
  <c r="A10" i="4"/>
  <c r="B7" i="4"/>
  <c r="M48" i="4"/>
  <c r="M47" i="4"/>
  <c r="M46" i="4"/>
  <c r="B19" i="4" s="1"/>
  <c r="M45" i="4"/>
  <c r="M44" i="4"/>
  <c r="M43" i="4"/>
  <c r="M42" i="4"/>
  <c r="M41" i="4"/>
  <c r="M40" i="4"/>
  <c r="M39" i="4"/>
  <c r="L37" i="4"/>
  <c r="K37" i="4"/>
  <c r="J37" i="4"/>
  <c r="I37" i="4"/>
  <c r="H37" i="4"/>
  <c r="G37" i="4"/>
  <c r="F37" i="4"/>
  <c r="E37" i="4"/>
  <c r="D37" i="4"/>
  <c r="C37" i="4"/>
  <c r="B37" i="4"/>
  <c r="M36" i="4"/>
  <c r="N36" i="4" s="1"/>
  <c r="M35" i="4"/>
  <c r="N35" i="4" s="1"/>
  <c r="M34" i="4"/>
  <c r="M33" i="4"/>
  <c r="N33" i="4" s="1"/>
  <c r="M32" i="4"/>
  <c r="N32" i="4" s="1"/>
  <c r="M31" i="4"/>
  <c r="N31" i="4" s="1"/>
  <c r="M30" i="4"/>
  <c r="N30" i="4" s="1"/>
  <c r="M29" i="4"/>
  <c r="N29" i="4" s="1"/>
  <c r="M28" i="4"/>
  <c r="M27" i="4"/>
  <c r="A19" i="4" s="1"/>
  <c r="L8" i="1"/>
  <c r="L9" i="1"/>
  <c r="L10" i="1"/>
  <c r="L11" i="1"/>
  <c r="P11" i="1" s="1"/>
  <c r="A7" i="7" s="1"/>
  <c r="L12" i="1"/>
  <c r="L13" i="1"/>
  <c r="L14" i="1"/>
  <c r="L15" i="1"/>
  <c r="P15" i="1" s="1"/>
  <c r="A7" i="11" s="1"/>
  <c r="L16" i="1"/>
  <c r="L17" i="1"/>
  <c r="L7" i="1"/>
  <c r="N8" i="1"/>
  <c r="N9" i="1"/>
  <c r="N10" i="1"/>
  <c r="N11" i="1"/>
  <c r="N12" i="1"/>
  <c r="N13" i="1"/>
  <c r="N14" i="1"/>
  <c r="N15" i="1"/>
  <c r="N16" i="1"/>
  <c r="N17" i="1"/>
  <c r="N7" i="1"/>
  <c r="AE37" i="1"/>
  <c r="AE36" i="1"/>
  <c r="AE35" i="1"/>
  <c r="AE34" i="1"/>
  <c r="AE33" i="1"/>
  <c r="AE32" i="1"/>
  <c r="AE31" i="1"/>
  <c r="AE30" i="1"/>
  <c r="AE29" i="1"/>
  <c r="AE28" i="1"/>
  <c r="AE27" i="1"/>
  <c r="AB37" i="1"/>
  <c r="AB36" i="1"/>
  <c r="AB35" i="1"/>
  <c r="AB34" i="1"/>
  <c r="AB33" i="1"/>
  <c r="AB32" i="1"/>
  <c r="AB31" i="1"/>
  <c r="AB30" i="1"/>
  <c r="AB29" i="1"/>
  <c r="AB28" i="1"/>
  <c r="AB27" i="1"/>
  <c r="Y37" i="1"/>
  <c r="Y36" i="1"/>
  <c r="Y35" i="1"/>
  <c r="Y34" i="1"/>
  <c r="Y33" i="1"/>
  <c r="Y32" i="1"/>
  <c r="Y31" i="1"/>
  <c r="Y30" i="1"/>
  <c r="Y29" i="1"/>
  <c r="Y28" i="1"/>
  <c r="Y27" i="1"/>
  <c r="V37" i="1"/>
  <c r="V36" i="1"/>
  <c r="V35" i="1"/>
  <c r="V34" i="1"/>
  <c r="V33" i="1"/>
  <c r="V32" i="1"/>
  <c r="V31" i="1"/>
  <c r="V30" i="1"/>
  <c r="V29" i="1"/>
  <c r="V28" i="1"/>
  <c r="V27" i="1"/>
  <c r="S37" i="1"/>
  <c r="S36" i="1"/>
  <c r="S35" i="1"/>
  <c r="S34" i="1"/>
  <c r="S33" i="1"/>
  <c r="S32" i="1"/>
  <c r="S31" i="1"/>
  <c r="S30" i="1"/>
  <c r="S29" i="1"/>
  <c r="S28" i="1"/>
  <c r="S27" i="1"/>
  <c r="P37" i="1"/>
  <c r="P36" i="1"/>
  <c r="P35" i="1"/>
  <c r="P34" i="1"/>
  <c r="P33" i="1"/>
  <c r="P32" i="1"/>
  <c r="P31" i="1"/>
  <c r="P30" i="1"/>
  <c r="P29" i="1"/>
  <c r="P28" i="1"/>
  <c r="P27" i="1"/>
  <c r="M37" i="1"/>
  <c r="M36" i="1"/>
  <c r="M35" i="1"/>
  <c r="M34" i="1"/>
  <c r="M33" i="1"/>
  <c r="M32" i="1"/>
  <c r="M31" i="1"/>
  <c r="M30" i="1"/>
  <c r="M29" i="1"/>
  <c r="M28" i="1"/>
  <c r="M27" i="1"/>
  <c r="J37" i="1"/>
  <c r="J36" i="1"/>
  <c r="J35" i="1"/>
  <c r="J34" i="1"/>
  <c r="J33" i="1"/>
  <c r="J32" i="1"/>
  <c r="J31" i="1"/>
  <c r="J30" i="1"/>
  <c r="J29" i="1"/>
  <c r="J28" i="1"/>
  <c r="J27" i="1"/>
  <c r="G37" i="1"/>
  <c r="G36" i="1"/>
  <c r="G35" i="1"/>
  <c r="G34" i="1"/>
  <c r="G33" i="1"/>
  <c r="G32" i="1"/>
  <c r="G31" i="1"/>
  <c r="G30" i="1"/>
  <c r="G29" i="1"/>
  <c r="G28" i="1"/>
  <c r="G27" i="1"/>
  <c r="D37" i="1"/>
  <c r="D36" i="1"/>
  <c r="D35" i="1"/>
  <c r="D34" i="1"/>
  <c r="D33" i="1"/>
  <c r="D32" i="1"/>
  <c r="D31" i="1"/>
  <c r="D30" i="1"/>
  <c r="D29" i="1"/>
  <c r="D27" i="1"/>
  <c r="D28" i="1"/>
  <c r="B10" i="2"/>
  <c r="B7" i="2"/>
  <c r="A10" i="2"/>
  <c r="A16" i="2"/>
  <c r="C37" i="2"/>
  <c r="D37" i="2"/>
  <c r="E37" i="2"/>
  <c r="F37" i="2"/>
  <c r="G37" i="2"/>
  <c r="H37" i="2"/>
  <c r="I37" i="2"/>
  <c r="J37" i="2"/>
  <c r="K37" i="2"/>
  <c r="L37" i="2"/>
  <c r="B37" i="2"/>
  <c r="M40" i="2"/>
  <c r="M41" i="2"/>
  <c r="M42" i="2"/>
  <c r="M43" i="2"/>
  <c r="M44" i="2"/>
  <c r="M45" i="2"/>
  <c r="M46" i="2"/>
  <c r="M47" i="2"/>
  <c r="M48" i="2"/>
  <c r="M39" i="2"/>
  <c r="B19" i="2" s="1"/>
  <c r="M36" i="2"/>
  <c r="M28" i="2"/>
  <c r="M29" i="2"/>
  <c r="M30" i="2"/>
  <c r="M31" i="2"/>
  <c r="M32" i="2"/>
  <c r="M33" i="2"/>
  <c r="M34" i="2"/>
  <c r="M35" i="2"/>
  <c r="M27" i="2"/>
  <c r="AC12" i="1"/>
  <c r="AC11" i="1"/>
  <c r="AF38" i="1"/>
  <c r="AC38" i="1"/>
  <c r="Z38" i="1"/>
  <c r="W38" i="1"/>
  <c r="T38" i="1"/>
  <c r="Q38" i="1"/>
  <c r="N38" i="1"/>
  <c r="K38" i="1"/>
  <c r="H38" i="1"/>
  <c r="E38" i="1"/>
  <c r="B38" i="1"/>
  <c r="AC8" i="1" s="1"/>
  <c r="B25" i="1"/>
  <c r="E25" i="1" s="1"/>
  <c r="H25" i="1" s="1"/>
  <c r="K25" i="1" s="1"/>
  <c r="N25" i="1" s="1"/>
  <c r="Q25" i="1" s="1"/>
  <c r="T25" i="1" s="1"/>
  <c r="W25" i="1" s="1"/>
  <c r="Z25" i="1" s="1"/>
  <c r="AC25" i="1" s="1"/>
  <c r="AF25" i="1" s="1"/>
  <c r="N30" i="11" l="1"/>
  <c r="N27" i="11"/>
  <c r="N28" i="11"/>
  <c r="A19" i="11"/>
  <c r="N31" i="11"/>
  <c r="N29" i="11"/>
  <c r="N34" i="5"/>
  <c r="N28" i="4"/>
  <c r="N34" i="4"/>
  <c r="P9" i="1"/>
  <c r="A7" i="5" s="1"/>
  <c r="A13" i="8"/>
  <c r="P8" i="1"/>
  <c r="A7" i="4" s="1"/>
  <c r="P10" i="1"/>
  <c r="A7" i="6" s="1"/>
  <c r="P17" i="1"/>
  <c r="A7" i="13" s="1"/>
  <c r="A13" i="13"/>
  <c r="P14" i="1"/>
  <c r="A7" i="10" s="1"/>
  <c r="P13" i="1"/>
  <c r="A7" i="9" s="1"/>
  <c r="P12" i="1"/>
  <c r="A7" i="8" s="1"/>
  <c r="A13" i="9"/>
  <c r="A13" i="11"/>
  <c r="A13" i="5"/>
  <c r="A13" i="10"/>
  <c r="V7" i="1"/>
  <c r="P7" i="1"/>
  <c r="A7" i="2" s="1"/>
  <c r="A13" i="12"/>
  <c r="A13" i="6"/>
  <c r="A13" i="4"/>
  <c r="P16" i="1"/>
  <c r="A7" i="12" s="1"/>
  <c r="A13" i="7"/>
  <c r="A13" i="2"/>
  <c r="B19" i="12"/>
  <c r="N28" i="8"/>
  <c r="N33" i="8"/>
  <c r="N35" i="7"/>
  <c r="N29" i="7"/>
  <c r="A19" i="7"/>
  <c r="N30" i="7"/>
  <c r="B19" i="6"/>
  <c r="A19" i="5"/>
  <c r="B19" i="5"/>
  <c r="N31" i="5"/>
  <c r="N32" i="5"/>
  <c r="N27" i="4"/>
  <c r="AC7" i="1"/>
  <c r="N36" i="2"/>
  <c r="N35" i="2"/>
  <c r="N33" i="2"/>
  <c r="N29" i="2"/>
  <c r="N31" i="2"/>
  <c r="N30" i="2"/>
  <c r="N34" i="2"/>
  <c r="N28" i="2"/>
  <c r="N32" i="2"/>
  <c r="B4" i="4"/>
  <c r="F16" i="1"/>
  <c r="B4" i="12" s="1"/>
  <c r="B4" i="7"/>
  <c r="F13" i="1"/>
  <c r="B4" i="9" s="1"/>
  <c r="B4" i="8"/>
  <c r="B4" i="6"/>
  <c r="B4" i="5"/>
  <c r="F14" i="1"/>
  <c r="B4" i="10" s="1"/>
  <c r="F15" i="1"/>
  <c r="B4" i="11" s="1"/>
  <c r="F17" i="1"/>
  <c r="B4" i="13" s="1"/>
  <c r="R11" i="1" l="1"/>
  <c r="V11" i="1"/>
  <c r="R16" i="1"/>
  <c r="V16" i="1"/>
  <c r="R9" i="1"/>
  <c r="V9" i="1"/>
  <c r="R10" i="1"/>
  <c r="V10" i="1"/>
  <c r="R12" i="1"/>
  <c r="V12" i="1"/>
  <c r="R13" i="1"/>
  <c r="V13" i="1"/>
  <c r="V17" i="1"/>
  <c r="R17" i="1"/>
  <c r="R15" i="1"/>
  <c r="V15" i="1"/>
  <c r="R14" i="1"/>
  <c r="V14" i="1"/>
  <c r="R8" i="1"/>
  <c r="V8" i="1"/>
  <c r="R7" i="1"/>
  <c r="AC10" i="1"/>
  <c r="B4" i="2"/>
  <c r="Y13" i="1" l="1"/>
  <c r="A4" i="9" s="1"/>
  <c r="Y12" i="1"/>
  <c r="A4" i="8" s="1"/>
  <c r="Y9" i="1"/>
  <c r="A4" i="5" s="1"/>
  <c r="Y15" i="1"/>
  <c r="A4" i="11" s="1"/>
  <c r="Y17" i="1"/>
  <c r="A4" i="13" s="1"/>
  <c r="Y10" i="1"/>
  <c r="A4" i="6" s="1"/>
  <c r="Y11" i="1"/>
  <c r="A4" i="7" s="1"/>
  <c r="Y8" i="1"/>
  <c r="A4" i="4" s="1"/>
  <c r="Y16" i="1"/>
  <c r="A4" i="12" s="1"/>
  <c r="Y7" i="1"/>
  <c r="A4" i="2" s="1"/>
  <c r="Y14" i="1"/>
  <c r="A4" i="10" s="1"/>
</calcChain>
</file>

<file path=xl/sharedStrings.xml><?xml version="1.0" encoding="utf-8"?>
<sst xmlns="http://schemas.openxmlformats.org/spreadsheetml/2006/main" count="592" uniqueCount="94">
  <si>
    <t>Player Name</t>
  </si>
  <si>
    <t>Games Played</t>
  </si>
  <si>
    <t>Wins</t>
  </si>
  <si>
    <t>Points</t>
  </si>
  <si>
    <t>Rebuys</t>
  </si>
  <si>
    <t>Add-Ons</t>
  </si>
  <si>
    <t>Cash Paid</t>
  </si>
  <si>
    <t>Winnings</t>
  </si>
  <si>
    <t>Profit/Loss</t>
  </si>
  <si>
    <t>Bonus Chips</t>
  </si>
  <si>
    <t>Knock Outs</t>
  </si>
  <si>
    <t>Points Key</t>
  </si>
  <si>
    <t>1st Place</t>
  </si>
  <si>
    <t>10 Points</t>
  </si>
  <si>
    <t>2nd Place</t>
  </si>
  <si>
    <t>3rd Place</t>
  </si>
  <si>
    <t>4th Place</t>
  </si>
  <si>
    <t>5th Place</t>
  </si>
  <si>
    <t>6 Points</t>
  </si>
  <si>
    <t>4 Points</t>
  </si>
  <si>
    <t>3 Points</t>
  </si>
  <si>
    <t>2 Points</t>
  </si>
  <si>
    <t>Edward Wearing</t>
  </si>
  <si>
    <t>Georgina Wearing</t>
  </si>
  <si>
    <t>Luke Daly</t>
  </si>
  <si>
    <t>Daniel Horne</t>
  </si>
  <si>
    <t>Darren Daly</t>
  </si>
  <si>
    <t>Stephen Flood</t>
  </si>
  <si>
    <t>Liam Duxbury</t>
  </si>
  <si>
    <t>Dave Taylor</t>
  </si>
  <si>
    <t>Nathen Benson</t>
  </si>
  <si>
    <t>Date</t>
  </si>
  <si>
    <t>Prize Pot</t>
  </si>
  <si>
    <t>Side Pot</t>
  </si>
  <si>
    <t xml:space="preserve">Place </t>
  </si>
  <si>
    <t>No Of Players</t>
  </si>
  <si>
    <t>Player Knockouts</t>
  </si>
  <si>
    <t>Knocked Out By</t>
  </si>
  <si>
    <t>Rival Player</t>
  </si>
  <si>
    <t>Current Rank</t>
  </si>
  <si>
    <t>Average Finishing Position</t>
  </si>
  <si>
    <t>Win Percentage</t>
  </si>
  <si>
    <t>Average Winnings</t>
  </si>
  <si>
    <t>Most Re-Buys in a single game</t>
  </si>
  <si>
    <t>Bubble Finishes</t>
  </si>
  <si>
    <t>Current League Points</t>
  </si>
  <si>
    <t>Bullied Player</t>
  </si>
  <si>
    <t>Phill Landsberger</t>
  </si>
  <si>
    <t>6th Place or less will receive no points</t>
  </si>
  <si>
    <t>Players will receive 1 point for each participant they knock out in each game.</t>
  </si>
  <si>
    <t>Total Side Pot</t>
  </si>
  <si>
    <t>Season Profit/Loss</t>
  </si>
  <si>
    <t>Season Final</t>
  </si>
  <si>
    <t>2026 League Statistics</t>
  </si>
  <si>
    <t>Money Spent this Season</t>
  </si>
  <si>
    <t>Most Players in a Single Game</t>
  </si>
  <si>
    <t>Date:</t>
  </si>
  <si>
    <t>Biggest Win</t>
  </si>
  <si>
    <t>Player:</t>
  </si>
  <si>
    <t>Total Points Earned This Season</t>
  </si>
  <si>
    <t>Total Re-Buys This Season</t>
  </si>
  <si>
    <t>Total Add-Ons This Season</t>
  </si>
  <si>
    <t>Average Points</t>
  </si>
  <si>
    <t>Average Knockouts per game</t>
  </si>
  <si>
    <t>Total</t>
  </si>
  <si>
    <t>EDWARD WEARING</t>
  </si>
  <si>
    <t>E.P.T.2026 Leaderboard Profile</t>
  </si>
  <si>
    <t>Final</t>
  </si>
  <si>
    <t>Total Money Spent</t>
  </si>
  <si>
    <t>GEORGINA WEARING</t>
  </si>
  <si>
    <t>LUKE DALY</t>
  </si>
  <si>
    <t>DANIEL HORNE</t>
  </si>
  <si>
    <t>E.P.T.2027 Leaderboard Profile</t>
  </si>
  <si>
    <t>E.P.T.2028 Leaderboard Profile</t>
  </si>
  <si>
    <t>DARREN DALY</t>
  </si>
  <si>
    <t>Chris Daly</t>
  </si>
  <si>
    <t>E.P.T.2029 Leaderboard Profile</t>
  </si>
  <si>
    <t>CHRIS DALY</t>
  </si>
  <si>
    <t>STEPHEN FLOOD</t>
  </si>
  <si>
    <t>E.P.T.2030 Leaderboard Profile</t>
  </si>
  <si>
    <t>PHIL LANDSBERGER</t>
  </si>
  <si>
    <t>E.P.T.2031 Leaderboard Profile</t>
  </si>
  <si>
    <t>31/06/2026</t>
  </si>
  <si>
    <t>LIAM DUXBURY</t>
  </si>
  <si>
    <t>E.P.T.2032 Leaderboard Profile</t>
  </si>
  <si>
    <t>32/06/2026</t>
  </si>
  <si>
    <t>Phil Lansdberger</t>
  </si>
  <si>
    <t>NATHEN BENSON</t>
  </si>
  <si>
    <t>E.P.T.2033 Leaderboard Profile</t>
  </si>
  <si>
    <t>33/06/2026</t>
  </si>
  <si>
    <t>DAVE TAYLOR</t>
  </si>
  <si>
    <t>E.P.T.2034 Leaderboard Profile</t>
  </si>
  <si>
    <t>34/06/2026</t>
  </si>
  <si>
    <t>Phil Landsberger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</si>
</sst>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.00"/>
    <numFmt numFmtId="165" formatCode="0.0"/>
    <numFmt numFmtId="166" formatCode="[$-F800]dddd\,\ mmmm\ dd\,\ yyyy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8"/>
      <color theme="1"/>
      <name val="Calibri"/>
      <family val="2"/>
    </font>
    <font>
      <sz val="36"/>
      <color rgb="FFFFFF00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7"/>
      <color rgb="FFFFFF00"/>
      <name val="Aptos Narrow"/>
      <family val="2"/>
      <scheme val="minor"/>
    </font>
    <font>
      <sz val="11"/>
      <color theme="5" tint="0.79998168889431442"/>
      <name val="Aptos Narrow"/>
      <family val="2"/>
      <scheme val="minor"/>
    </font>
    <font>
      <b/>
      <sz val="11"/>
      <color theme="5" tint="0.79998168889431442"/>
      <name val="Aptos Narrow"/>
      <family val="2"/>
      <scheme val="minor"/>
    </font>
    <font>
      <b/>
      <u/>
      <sz val="14"/>
      <color theme="1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BA42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5F5F5F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49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2" borderId="3" xfId="0" applyFont="1" applyFill="1" applyBorder="1"/>
    <xf numFmtId="0" fontId="0" fillId="0" borderId="7" xfId="0" applyBorder="1"/>
    <xf numFmtId="0" fontId="0" fillId="0" borderId="8" xfId="0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5" xfId="0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1" fillId="2" borderId="1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3" borderId="24" xfId="0" applyFont="1" applyFill="1" applyBorder="1"/>
    <xf numFmtId="0" fontId="1" fillId="4" borderId="25" xfId="0" applyFont="1" applyFill="1" applyBorder="1"/>
    <xf numFmtId="0" fontId="1" fillId="2" borderId="25" xfId="0" applyFont="1" applyFill="1" applyBorder="1" applyAlignment="1">
      <alignment horizontal="center"/>
    </xf>
    <xf numFmtId="0" fontId="0" fillId="2" borderId="26" xfId="0" applyFill="1" applyBorder="1"/>
    <xf numFmtId="0" fontId="1" fillId="2" borderId="7" xfId="0" applyFont="1" applyFill="1" applyBorder="1" applyAlignment="1">
      <alignment horizontal="center"/>
    </xf>
    <xf numFmtId="0" fontId="0" fillId="2" borderId="27" xfId="0" applyFill="1" applyBorder="1"/>
    <xf numFmtId="0" fontId="0" fillId="0" borderId="31" xfId="0" applyBorder="1" applyAlignment="1">
      <alignment horizontal="center" vertical="center"/>
    </xf>
    <xf numFmtId="0" fontId="0" fillId="0" borderId="33" xfId="0" applyBorder="1"/>
    <xf numFmtId="0" fontId="0" fillId="0" borderId="34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3" fillId="0" borderId="0" xfId="0" applyFont="1"/>
    <xf numFmtId="1" fontId="0" fillId="0" borderId="0" xfId="0" applyNumberFormat="1" applyAlignment="1">
      <alignment horizontal="right" vertical="center"/>
    </xf>
    <xf numFmtId="0" fontId="3" fillId="6" borderId="0" xfId="0" applyFont="1" applyFill="1"/>
    <xf numFmtId="0" fontId="6" fillId="6" borderId="0" xfId="0" applyFont="1" applyFill="1"/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7" fillId="0" borderId="35" xfId="0" applyFont="1" applyBorder="1" applyAlignment="1">
      <alignment vertical="top"/>
    </xf>
    <xf numFmtId="0" fontId="5" fillId="0" borderId="35" xfId="0" applyFont="1" applyBorder="1" applyAlignment="1">
      <alignment horizontal="left"/>
    </xf>
    <xf numFmtId="0" fontId="1" fillId="0" borderId="0" xfId="0" applyFont="1"/>
    <xf numFmtId="9" fontId="0" fillId="0" borderId="0" xfId="1" applyFont="1" applyAlignment="1">
      <alignment vertical="center"/>
    </xf>
    <xf numFmtId="0" fontId="1" fillId="8" borderId="28" xfId="0" applyFont="1" applyFill="1" applyBorder="1"/>
    <xf numFmtId="0" fontId="0" fillId="8" borderId="29" xfId="0" applyFill="1" applyBorder="1"/>
    <xf numFmtId="0" fontId="0" fillId="8" borderId="31" xfId="0" applyFill="1" applyBorder="1"/>
    <xf numFmtId="0" fontId="1" fillId="8" borderId="30" xfId="0" applyFont="1" applyFill="1" applyBorder="1"/>
    <xf numFmtId="0" fontId="0" fillId="8" borderId="30" xfId="0" applyFill="1" applyBorder="1"/>
    <xf numFmtId="0" fontId="0" fillId="8" borderId="32" xfId="0" applyFill="1" applyBorder="1"/>
    <xf numFmtId="0" fontId="0" fillId="8" borderId="34" xfId="0" applyFill="1" applyBorder="1"/>
    <xf numFmtId="0" fontId="0" fillId="8" borderId="0" xfId="0" applyFill="1"/>
    <xf numFmtId="0" fontId="0" fillId="8" borderId="33" xfId="0" applyFill="1" applyBorder="1"/>
    <xf numFmtId="0" fontId="3" fillId="9" borderId="0" xfId="0" applyFont="1" applyFill="1"/>
    <xf numFmtId="164" fontId="6" fillId="9" borderId="0" xfId="0" applyNumberFormat="1" applyFont="1" applyFill="1"/>
    <xf numFmtId="1" fontId="0" fillId="0" borderId="0" xfId="0" applyNumberFormat="1" applyAlignment="1">
      <alignment vertical="center"/>
    </xf>
    <xf numFmtId="0" fontId="3" fillId="11" borderId="0" xfId="0" applyFont="1" applyFill="1"/>
    <xf numFmtId="1" fontId="6" fillId="11" borderId="0" xfId="0" applyNumberFormat="1" applyFont="1" applyFill="1"/>
    <xf numFmtId="0" fontId="3" fillId="13" borderId="0" xfId="0" applyFont="1" applyFill="1"/>
    <xf numFmtId="1" fontId="6" fillId="13" borderId="0" xfId="0" applyNumberFormat="1" applyFont="1" applyFill="1"/>
    <xf numFmtId="0" fontId="3" fillId="15" borderId="0" xfId="0" applyFont="1" applyFill="1"/>
    <xf numFmtId="0" fontId="3" fillId="17" borderId="0" xfId="0" applyFont="1" applyFill="1"/>
    <xf numFmtId="1" fontId="9" fillId="17" borderId="0" xfId="0" applyNumberFormat="1" applyFont="1" applyFill="1" applyAlignment="1">
      <alignment horizontal="right"/>
    </xf>
    <xf numFmtId="0" fontId="1" fillId="0" borderId="21" xfId="0" applyFont="1" applyBorder="1" applyAlignment="1">
      <alignment horizontal="center" vertical="center"/>
    </xf>
    <xf numFmtId="0" fontId="8" fillId="0" borderId="14" xfId="2" applyBorder="1"/>
    <xf numFmtId="0" fontId="0" fillId="19" borderId="17" xfId="0" applyFill="1" applyBorder="1"/>
    <xf numFmtId="14" fontId="1" fillId="8" borderId="28" xfId="0" applyNumberFormat="1" applyFont="1" applyFill="1" applyBorder="1"/>
    <xf numFmtId="14" fontId="1" fillId="8" borderId="28" xfId="0" applyNumberFormat="1" applyFont="1" applyFill="1" applyBorder="1" applyAlignment="1">
      <alignment horizontal="right"/>
    </xf>
    <xf numFmtId="164" fontId="0" fillId="0" borderId="21" xfId="0" applyNumberFormat="1" applyBorder="1"/>
    <xf numFmtId="164" fontId="0" fillId="0" borderId="22" xfId="0" applyNumberFormat="1" applyBorder="1"/>
    <xf numFmtId="164" fontId="0" fillId="0" borderId="23" xfId="0" applyNumberFormat="1" applyBorder="1"/>
    <xf numFmtId="164" fontId="0" fillId="0" borderId="14" xfId="0" applyNumberFormat="1" applyBorder="1"/>
    <xf numFmtId="164" fontId="0" fillId="0" borderId="3" xfId="0" applyNumberFormat="1" applyBorder="1"/>
    <xf numFmtId="164" fontId="0" fillId="0" borderId="15" xfId="0" applyNumberFormat="1" applyBorder="1"/>
    <xf numFmtId="164" fontId="0" fillId="0" borderId="18" xfId="0" applyNumberFormat="1" applyBorder="1"/>
    <xf numFmtId="164" fontId="0" fillId="0" borderId="19" xfId="0" applyNumberFormat="1" applyBorder="1"/>
    <xf numFmtId="164" fontId="0" fillId="0" borderId="20" xfId="0" applyNumberFormat="1" applyBorder="1"/>
    <xf numFmtId="164" fontId="6" fillId="15" borderId="0" xfId="0" applyNumberFormat="1" applyFont="1" applyFill="1"/>
    <xf numFmtId="164" fontId="10" fillId="8" borderId="0" xfId="0" applyNumberFormat="1" applyFont="1" applyFill="1"/>
    <xf numFmtId="0" fontId="1" fillId="8" borderId="33" xfId="0" applyFont="1" applyFill="1" applyBorder="1"/>
    <xf numFmtId="0" fontId="11" fillId="8" borderId="30" xfId="0" applyFont="1" applyFill="1" applyBorder="1"/>
    <xf numFmtId="0" fontId="8" fillId="0" borderId="18" xfId="2" applyBorder="1"/>
    <xf numFmtId="0" fontId="0" fillId="9" borderId="0" xfId="0" applyFill="1"/>
    <xf numFmtId="166" fontId="0" fillId="3" borderId="9" xfId="0" applyNumberFormat="1" applyFill="1" applyBorder="1" applyAlignment="1">
      <alignment horizontal="center"/>
    </xf>
    <xf numFmtId="166" fontId="0" fillId="3" borderId="10" xfId="0" applyNumberFormat="1" applyFill="1" applyBorder="1" applyAlignment="1">
      <alignment horizontal="center"/>
    </xf>
    <xf numFmtId="166" fontId="0" fillId="3" borderId="11" xfId="0" applyNumberFormat="1" applyFill="1" applyBorder="1" applyAlignment="1">
      <alignment horizontal="center"/>
    </xf>
    <xf numFmtId="164" fontId="0" fillId="0" borderId="5" xfId="0" applyNumberFormat="1" applyBorder="1"/>
    <xf numFmtId="164" fontId="0" fillId="0" borderId="7" xfId="0" applyNumberFormat="1" applyBorder="1"/>
    <xf numFmtId="0" fontId="0" fillId="0" borderId="3" xfId="0" applyBorder="1"/>
    <xf numFmtId="0" fontId="0" fillId="0" borderId="19" xfId="0" applyBorder="1"/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166" fontId="0" fillId="3" borderId="9" xfId="0" applyNumberFormat="1" applyFill="1" applyBorder="1"/>
    <xf numFmtId="166" fontId="0" fillId="3" borderId="11" xfId="0" applyNumberFormat="1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2" fillId="20" borderId="1" xfId="0" applyFont="1" applyFill="1" applyBorder="1" applyAlignment="1">
      <alignment horizontal="center" vertical="center"/>
    </xf>
    <xf numFmtId="0" fontId="12" fillId="20" borderId="37" xfId="0" applyFont="1" applyFill="1" applyBorder="1" applyAlignment="1">
      <alignment horizontal="center" vertical="center"/>
    </xf>
    <xf numFmtId="0" fontId="12" fillId="20" borderId="2" xfId="0" applyFont="1" applyFill="1" applyBorder="1" applyAlignment="1">
      <alignment horizontal="center" vertical="center"/>
    </xf>
    <xf numFmtId="0" fontId="0" fillId="0" borderId="30" xfId="0" applyBorder="1"/>
    <xf numFmtId="0" fontId="0" fillId="0" borderId="0" xfId="0"/>
    <xf numFmtId="0" fontId="0" fillId="0" borderId="32" xfId="0" applyBorder="1"/>
    <xf numFmtId="0" fontId="0" fillId="0" borderId="33" xfId="0" applyBorder="1"/>
    <xf numFmtId="0" fontId="0" fillId="0" borderId="5" xfId="0" applyBorder="1"/>
    <xf numFmtId="0" fontId="0" fillId="0" borderId="7" xfId="0" applyBorder="1"/>
    <xf numFmtId="0" fontId="0" fillId="0" borderId="36" xfId="0" applyBorder="1"/>
    <xf numFmtId="0" fontId="0" fillId="0" borderId="27" xfId="0" applyBorder="1"/>
    <xf numFmtId="0" fontId="1" fillId="0" borderId="22" xfId="0" applyFont="1" applyBorder="1" applyAlignment="1">
      <alignment horizontal="center" vertical="center"/>
    </xf>
    <xf numFmtId="166" fontId="0" fillId="3" borderId="21" xfId="0" applyNumberFormat="1" applyFill="1" applyBorder="1" applyAlignment="1">
      <alignment horizontal="center"/>
    </xf>
    <xf numFmtId="166" fontId="0" fillId="3" borderId="22" xfId="0" applyNumberFormat="1" applyFill="1" applyBorder="1" applyAlignment="1">
      <alignment horizontal="center"/>
    </xf>
    <xf numFmtId="166" fontId="0" fillId="3" borderId="23" xfId="0" applyNumberFormat="1" applyFill="1" applyBorder="1" applyAlignment="1">
      <alignment horizontal="center"/>
    </xf>
    <xf numFmtId="1" fontId="0" fillId="0" borderId="5" xfId="0" applyNumberFormat="1" applyBorder="1"/>
    <xf numFmtId="1" fontId="0" fillId="0" borderId="7" xfId="0" applyNumberFormat="1" applyBorder="1"/>
    <xf numFmtId="0" fontId="1" fillId="0" borderId="2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3" fillId="18" borderId="0" xfId="0" applyFont="1" applyFill="1" applyAlignment="1">
      <alignment horizontal="left"/>
    </xf>
    <xf numFmtId="0" fontId="9" fillId="18" borderId="0" xfId="0" applyFont="1" applyFill="1" applyAlignment="1">
      <alignment horizontal="right" wrapText="1"/>
    </xf>
    <xf numFmtId="0" fontId="5" fillId="0" borderId="0" xfId="0" applyFont="1" applyAlignment="1">
      <alignment horizontal="center" vertical="center"/>
    </xf>
    <xf numFmtId="0" fontId="3" fillId="14" borderId="0" xfId="0" applyFont="1" applyFill="1" applyAlignment="1">
      <alignment horizontal="left"/>
    </xf>
    <xf numFmtId="165" fontId="6" fillId="14" borderId="0" xfId="0" applyNumberFormat="1" applyFont="1" applyFill="1" applyAlignment="1">
      <alignment horizontal="right"/>
    </xf>
    <xf numFmtId="0" fontId="3" fillId="16" borderId="0" xfId="0" applyFont="1" applyFill="1" applyAlignment="1">
      <alignment horizontal="left"/>
    </xf>
    <xf numFmtId="0" fontId="0" fillId="0" borderId="0" xfId="0" applyAlignment="1">
      <alignment horizontal="right" vertical="center"/>
    </xf>
    <xf numFmtId="0" fontId="3" fillId="7" borderId="0" xfId="0" applyFont="1" applyFill="1" applyAlignment="1">
      <alignment horizontal="left"/>
    </xf>
    <xf numFmtId="0" fontId="6" fillId="16" borderId="0" xfId="0" applyFont="1" applyFill="1" applyAlignment="1">
      <alignment horizontal="right"/>
    </xf>
    <xf numFmtId="0" fontId="6" fillId="7" borderId="0" xfId="0" applyFont="1" applyFill="1" applyAlignment="1">
      <alignment horizontal="right"/>
    </xf>
    <xf numFmtId="0" fontId="6" fillId="10" borderId="0" xfId="0" applyFont="1" applyFill="1" applyAlignment="1">
      <alignment horizontal="right"/>
    </xf>
    <xf numFmtId="0" fontId="3" fillId="10" borderId="0" xfId="0" applyFont="1" applyFill="1" applyAlignment="1">
      <alignment horizontal="left"/>
    </xf>
    <xf numFmtId="0" fontId="3" fillId="12" borderId="0" xfId="0" applyFont="1" applyFill="1" applyAlignment="1">
      <alignment horizontal="left"/>
    </xf>
    <xf numFmtId="164" fontId="6" fillId="12" borderId="0" xfId="0" applyNumberFormat="1" applyFont="1" applyFill="1" applyAlignment="1">
      <alignment horizontal="right"/>
    </xf>
    <xf numFmtId="0" fontId="6" fillId="14" borderId="0" xfId="0" applyFont="1" applyFill="1" applyAlignment="1">
      <alignment horizontal="right"/>
    </xf>
    <xf numFmtId="2" fontId="0" fillId="0" borderId="5" xfId="0" applyNumberFormat="1" applyBorder="1"/>
    <xf numFmtId="2" fontId="0" fillId="0" borderId="7" xfId="0" applyNumberFormat="1" applyBorder="1"/>
    <xf numFmtId="2" fontId="0" fillId="0" borderId="36" xfId="0" applyNumberFormat="1" applyBorder="1"/>
    <xf numFmtId="2" fontId="0" fillId="0" borderId="27" xfId="0" applyNumberFormat="1" applyBorder="1"/>
    <xf numFmtId="164" fontId="0" fillId="4" borderId="6" xfId="0" applyNumberFormat="1" applyFill="1" applyBorder="1" applyAlignment="1">
      <alignment horizontal="center"/>
    </xf>
    <xf numFmtId="164" fontId="0" fillId="4" borderId="13" xfId="0" applyNumberFormat="1" applyFill="1" applyBorder="1" applyAlignment="1">
      <alignment horizontal="center"/>
    </xf>
    <xf numFmtId="164" fontId="0" fillId="4" borderId="12" xfId="0" applyNumberFormat="1" applyFill="1" applyBorder="1" applyAlignment="1">
      <alignment horizontal="center"/>
    </xf>
    <xf numFmtId="164" fontId="0" fillId="4" borderId="14" xfId="0" applyNumberFormat="1" applyFill="1" applyBorder="1" applyAlignment="1">
      <alignment horizontal="center"/>
    </xf>
    <xf numFmtId="164" fontId="0" fillId="4" borderId="3" xfId="0" applyNumberFormat="1" applyFill="1" applyBorder="1" applyAlignment="1">
      <alignment horizontal="center"/>
    </xf>
    <xf numFmtId="164" fontId="0" fillId="4" borderId="15" xfId="0" applyNumberFormat="1" applyFill="1" applyBorder="1" applyAlignment="1">
      <alignment horizontal="center"/>
    </xf>
    <xf numFmtId="164" fontId="0" fillId="4" borderId="12" xfId="0" applyNumberFormat="1" applyFill="1" applyBorder="1"/>
    <xf numFmtId="164" fontId="0" fillId="4" borderId="13" xfId="0" applyNumberFormat="1" applyFill="1" applyBorder="1"/>
    <xf numFmtId="0" fontId="0" fillId="21" borderId="7" xfId="0" applyFill="1" applyBorder="1"/>
    <xf numFmtId="0" fontId="0" fillId="21" borderId="17" xfId="0" applyFill="1" applyBorder="1"/>
    <xf numFmtId="164" fontId="0" fillId="0" borderId="4" xfId="0" applyNumberFormat="1" applyBorder="1"/>
    <xf numFmtId="164" fontId="0" fillId="21" borderId="3" xfId="0" applyNumberFormat="1" applyFill="1" applyBorder="1"/>
  </cellXfs>
  <cellStyles count="3">
    <cellStyle name="Hyperlink" xfId="2" builtinId="8"/>
    <cellStyle name="Normal" xfId="0" builtinId="0"/>
    <cellStyle name="Percent" xfId="1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3333FF"/>
      <color rgb="FFCC0066"/>
      <color rgb="FF5F5F5F"/>
      <color rgb="FF996633"/>
      <color rgb="FF009999"/>
      <color rgb="FF990000"/>
      <color rgb="FF6BA42C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'Edward Wearing '!$A$22</c:f>
              <c:strCache>
                <c:ptCount val="1"/>
                <c:pt idx="0">
                  <c:v>Total Money Spent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'Edward Wearing '!$B$21:$L$21</c:f>
              <c:strCache>
                <c:ptCount val="11"/>
                <c:pt idx="0">
                  <c:v>24/01/2026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25/04/2026</c:v>
                </c:pt>
                <c:pt idx="4">
                  <c:v>23/05/2026</c:v>
                </c:pt>
                <c:pt idx="5">
                  <c:v>27/06/2026</c:v>
                </c:pt>
                <c:pt idx="6">
                  <c:v>25/07/2026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24/10/2026</c:v>
                </c:pt>
                <c:pt idx="10">
                  <c:v>Final</c:v>
                </c:pt>
              </c:strCache>
            </c:strRef>
          </c:cat>
          <c:val>
            <c:numRef>
              <c:f>'Edward Wearing '!$B$22:$L$22</c:f>
              <c:numCache>
                <c:formatCode>"£"#,##0.00</c:formatCode>
                <c:ptCount val="11"/>
                <c:pt idx="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34-4EC3-AC23-7A801EAD81AB}"/>
            </c:ext>
          </c:extLst>
        </c:ser>
        <c:ser>
          <c:idx val="1"/>
          <c:order val="1"/>
          <c:tx>
            <c:strRef>
              <c:f>'Edward Wearing '!$A$23</c:f>
              <c:strCache>
                <c:ptCount val="1"/>
                <c:pt idx="0">
                  <c:v>Rebuys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'Edward Wearing '!$B$21:$L$21</c:f>
              <c:strCache>
                <c:ptCount val="11"/>
                <c:pt idx="0">
                  <c:v>24/01/2026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25/04/2026</c:v>
                </c:pt>
                <c:pt idx="4">
                  <c:v>23/05/2026</c:v>
                </c:pt>
                <c:pt idx="5">
                  <c:v>27/06/2026</c:v>
                </c:pt>
                <c:pt idx="6">
                  <c:v>25/07/2026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24/10/2026</c:v>
                </c:pt>
                <c:pt idx="10">
                  <c:v>Final</c:v>
                </c:pt>
              </c:strCache>
            </c:strRef>
          </c:cat>
          <c:val>
            <c:numRef>
              <c:f>'Edward Wearing '!$B$23:$L$23</c:f>
              <c:numCache>
                <c:formatCode>"£"#,##0.00</c:formatCode>
                <c:ptCount val="1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34-4EC3-AC23-7A801EAD81AB}"/>
            </c:ext>
          </c:extLst>
        </c:ser>
        <c:ser>
          <c:idx val="2"/>
          <c:order val="2"/>
          <c:tx>
            <c:strRef>
              <c:f>'Edward Wearing '!$A$24</c:f>
              <c:strCache>
                <c:ptCount val="1"/>
                <c:pt idx="0">
                  <c:v>Add-Ons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'Edward Wearing '!$B$21:$L$21</c:f>
              <c:strCache>
                <c:ptCount val="11"/>
                <c:pt idx="0">
                  <c:v>24/01/2026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25/04/2026</c:v>
                </c:pt>
                <c:pt idx="4">
                  <c:v>23/05/2026</c:v>
                </c:pt>
                <c:pt idx="5">
                  <c:v>27/06/2026</c:v>
                </c:pt>
                <c:pt idx="6">
                  <c:v>25/07/2026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24/10/2026</c:v>
                </c:pt>
                <c:pt idx="10">
                  <c:v>Final</c:v>
                </c:pt>
              </c:strCache>
            </c:strRef>
          </c:cat>
          <c:val>
            <c:numRef>
              <c:f>'Edward Wearing '!$B$24:$L$24</c:f>
              <c:numCache>
                <c:formatCode>"£"#,##0.00</c:formatCode>
                <c:ptCount val="11"/>
                <c:pt idx="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34-4EC3-AC23-7A801EAD8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4690815"/>
        <c:axId val="874680735"/>
      </c:lineChart>
      <c:catAx>
        <c:axId val="87469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12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80735"/>
        <c:crosses val="autoZero"/>
        <c:auto val="1"/>
        <c:lblAlgn val="ctr"/>
        <c:lblOffset val="100"/>
        <c:noMultiLvlLbl val="0"/>
      </c:catAx>
      <c:valAx>
        <c:axId val="87468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9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'Georgina Wearing'!$A$22</c:f>
              <c:strCache>
                <c:ptCount val="1"/>
                <c:pt idx="0">
                  <c:v>Total Money Spent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'Georgina Wearing'!$B$21:$L$21</c:f>
              <c:strCache>
                <c:ptCount val="11"/>
                <c:pt idx="0">
                  <c:v>25/01/2026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25/04/2026</c:v>
                </c:pt>
                <c:pt idx="4">
                  <c:v>23/05/2026</c:v>
                </c:pt>
                <c:pt idx="5">
                  <c:v>27/06/2026</c:v>
                </c:pt>
                <c:pt idx="6">
                  <c:v>25/07/2026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25/10/2026</c:v>
                </c:pt>
                <c:pt idx="10">
                  <c:v>Final</c:v>
                </c:pt>
              </c:strCache>
            </c:strRef>
          </c:cat>
          <c:val>
            <c:numRef>
              <c:f>'Georgina Wearing'!$B$22:$L$22</c:f>
              <c:numCache>
                <c:formatCode>"£"#,##0.00</c:formatCode>
                <c:ptCount val="11"/>
                <c:pt idx="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0-4F80-851D-3825A30D98D8}"/>
            </c:ext>
          </c:extLst>
        </c:ser>
        <c:ser>
          <c:idx val="1"/>
          <c:order val="1"/>
          <c:tx>
            <c:strRef>
              <c:f>'Georgina Wearing'!$A$23</c:f>
              <c:strCache>
                <c:ptCount val="1"/>
                <c:pt idx="0">
                  <c:v>Rebuys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'Georgina Wearing'!$B$21:$L$21</c:f>
              <c:strCache>
                <c:ptCount val="11"/>
                <c:pt idx="0">
                  <c:v>25/01/2026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25/04/2026</c:v>
                </c:pt>
                <c:pt idx="4">
                  <c:v>23/05/2026</c:v>
                </c:pt>
                <c:pt idx="5">
                  <c:v>27/06/2026</c:v>
                </c:pt>
                <c:pt idx="6">
                  <c:v>25/07/2026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25/10/2026</c:v>
                </c:pt>
                <c:pt idx="10">
                  <c:v>Final</c:v>
                </c:pt>
              </c:strCache>
            </c:strRef>
          </c:cat>
          <c:val>
            <c:numRef>
              <c:f>'Georgina Wearing'!$B$23:$L$23</c:f>
              <c:numCache>
                <c:formatCode>"£"#,##0.00</c:formatCode>
                <c:ptCount val="1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10-4F80-851D-3825A30D98D8}"/>
            </c:ext>
          </c:extLst>
        </c:ser>
        <c:ser>
          <c:idx val="2"/>
          <c:order val="2"/>
          <c:tx>
            <c:strRef>
              <c:f>'Georgina Wearing'!$A$24</c:f>
              <c:strCache>
                <c:ptCount val="1"/>
                <c:pt idx="0">
                  <c:v>Add-Ons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'Georgina Wearing'!$B$21:$L$21</c:f>
              <c:strCache>
                <c:ptCount val="11"/>
                <c:pt idx="0">
                  <c:v>25/01/2026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25/04/2026</c:v>
                </c:pt>
                <c:pt idx="4">
                  <c:v>23/05/2026</c:v>
                </c:pt>
                <c:pt idx="5">
                  <c:v>27/06/2026</c:v>
                </c:pt>
                <c:pt idx="6">
                  <c:v>25/07/2026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25/10/2026</c:v>
                </c:pt>
                <c:pt idx="10">
                  <c:v>Final</c:v>
                </c:pt>
              </c:strCache>
            </c:strRef>
          </c:cat>
          <c:val>
            <c:numRef>
              <c:f>'Georgina Wearing'!$B$24:$L$24</c:f>
              <c:numCache>
                <c:formatCode>"£"#,##0.00</c:formatCode>
                <c:ptCount val="11"/>
                <c:pt idx="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10-4F80-851D-3825A30D98D8}"/>
            </c:ext>
          </c:extLst>
        </c:ser>
        <c:ser>
          <c:idx val="3"/>
          <c:order val="3"/>
          <c:tx>
            <c:strRef>
              <c:f>'Georgina Wearing'!$A$25</c:f>
              <c:strCache>
                <c:ptCount val="1"/>
                <c:pt idx="0">
                  <c:v>Profit/Loss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'Georgina Wearing'!$B$21:$L$21</c:f>
              <c:strCache>
                <c:ptCount val="11"/>
                <c:pt idx="0">
                  <c:v>25/01/2026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25/04/2026</c:v>
                </c:pt>
                <c:pt idx="4">
                  <c:v>23/05/2026</c:v>
                </c:pt>
                <c:pt idx="5">
                  <c:v>27/06/2026</c:v>
                </c:pt>
                <c:pt idx="6">
                  <c:v>25/07/2026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25/10/2026</c:v>
                </c:pt>
                <c:pt idx="10">
                  <c:v>Final</c:v>
                </c:pt>
              </c:strCache>
            </c:strRef>
          </c:cat>
          <c:val>
            <c:numRef>
              <c:f>'Georgina Wearing'!$B$25:$L$25</c:f>
              <c:numCache>
                <c:formatCode>"£"#,##0.00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610-4F80-851D-3825A30D9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4690815"/>
        <c:axId val="874680735"/>
      </c:lineChart>
      <c:catAx>
        <c:axId val="87469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12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80735"/>
        <c:crosses val="autoZero"/>
        <c:auto val="1"/>
        <c:lblAlgn val="ctr"/>
        <c:lblOffset val="100"/>
        <c:noMultiLvlLbl val="0"/>
      </c:catAx>
      <c:valAx>
        <c:axId val="87468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9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'Luke Daly'!$A$22</c:f>
              <c:strCache>
                <c:ptCount val="1"/>
                <c:pt idx="0">
                  <c:v>Total Money Spent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'Luke Daly'!$B$21:$L$21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27/06/2026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'Luke Daly'!$B$22:$L$22</c:f>
              <c:numCache>
                <c:formatCode>"£"#,##0.00</c:formatCode>
                <c:ptCount val="11"/>
                <c:pt idx="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88-4985-924E-EA33F685C56E}"/>
            </c:ext>
          </c:extLst>
        </c:ser>
        <c:ser>
          <c:idx val="1"/>
          <c:order val="1"/>
          <c:tx>
            <c:strRef>
              <c:f>'Luke Daly'!$A$23</c:f>
              <c:strCache>
                <c:ptCount val="1"/>
                <c:pt idx="0">
                  <c:v>Rebuys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'Luke Daly'!$B$21:$L$21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27/06/2026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'Luke Daly'!$B$23:$L$23</c:f>
              <c:numCache>
                <c:formatCode>"£"#,##0.00</c:formatCode>
                <c:ptCount val="1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88-4985-924E-EA33F685C56E}"/>
            </c:ext>
          </c:extLst>
        </c:ser>
        <c:ser>
          <c:idx val="2"/>
          <c:order val="2"/>
          <c:tx>
            <c:strRef>
              <c:f>'Luke Daly'!$A$24</c:f>
              <c:strCache>
                <c:ptCount val="1"/>
                <c:pt idx="0">
                  <c:v>Add-Ons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'Luke Daly'!$B$21:$L$21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27/06/2026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'Luke Daly'!$B$24:$L$24</c:f>
              <c:numCache>
                <c:formatCode>"£"#,##0.00</c:formatCode>
                <c:ptCount val="11"/>
                <c:pt idx="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88-4985-924E-EA33F685C56E}"/>
            </c:ext>
          </c:extLst>
        </c:ser>
        <c:ser>
          <c:idx val="3"/>
          <c:order val="3"/>
          <c:tx>
            <c:strRef>
              <c:f>'Luke Daly'!$A$25</c:f>
              <c:strCache>
                <c:ptCount val="1"/>
                <c:pt idx="0">
                  <c:v>Profit/Loss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'Luke Daly'!$B$21:$L$21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27/06/2026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'Luke Daly'!$B$25:$L$25</c:f>
              <c:numCache>
                <c:formatCode>"£"#,##0.00</c:formatCode>
                <c:ptCount val="11"/>
                <c:pt idx="0">
                  <c:v>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488-4985-924E-EA33F685C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4690815"/>
        <c:axId val="874680735"/>
      </c:lineChart>
      <c:catAx>
        <c:axId val="87469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12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80735"/>
        <c:crosses val="autoZero"/>
        <c:auto val="1"/>
        <c:lblAlgn val="ctr"/>
        <c:lblOffset val="100"/>
        <c:noMultiLvlLbl val="0"/>
      </c:catAx>
      <c:valAx>
        <c:axId val="87468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9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'Daniel Horne'!$A$22</c:f>
              <c:strCache>
                <c:ptCount val="1"/>
                <c:pt idx="0">
                  <c:v>Total Money Spent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'Daniel Horne'!$B$21:$L$21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27/06/2026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'Daniel Horne'!$B$22:$L$22</c:f>
              <c:numCache>
                <c:formatCode>"£"#,##0.00</c:formatCode>
                <c:ptCount val="11"/>
                <c:pt idx="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6E-40A2-8B40-D59A4CE665D6}"/>
            </c:ext>
          </c:extLst>
        </c:ser>
        <c:ser>
          <c:idx val="1"/>
          <c:order val="1"/>
          <c:tx>
            <c:strRef>
              <c:f>'Daniel Horne'!$A$23</c:f>
              <c:strCache>
                <c:ptCount val="1"/>
                <c:pt idx="0">
                  <c:v>Rebuys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'Daniel Horne'!$B$21:$L$21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27/06/2026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'Daniel Horne'!$B$23:$L$23</c:f>
              <c:numCache>
                <c:formatCode>"£"#,##0.00</c:formatCode>
                <c:ptCount val="1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6E-40A2-8B40-D59A4CE665D6}"/>
            </c:ext>
          </c:extLst>
        </c:ser>
        <c:ser>
          <c:idx val="2"/>
          <c:order val="2"/>
          <c:tx>
            <c:strRef>
              <c:f>'Daniel Horne'!$A$24</c:f>
              <c:strCache>
                <c:ptCount val="1"/>
                <c:pt idx="0">
                  <c:v>Add-Ons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'Daniel Horne'!$B$21:$L$21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27/06/2026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'Daniel Horne'!$B$24:$L$24</c:f>
              <c:numCache>
                <c:formatCode>"£"#,##0.00</c:formatCode>
                <c:ptCount val="11"/>
                <c:pt idx="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6E-40A2-8B40-D59A4CE665D6}"/>
            </c:ext>
          </c:extLst>
        </c:ser>
        <c:ser>
          <c:idx val="3"/>
          <c:order val="3"/>
          <c:tx>
            <c:strRef>
              <c:f>'Daniel Horne'!$A$25</c:f>
              <c:strCache>
                <c:ptCount val="1"/>
                <c:pt idx="0">
                  <c:v>Profit/Loss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'Daniel Horne'!$B$21:$L$21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27/06/2026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'Daniel Horne'!$B$25:$L$25</c:f>
              <c:numCache>
                <c:formatCode>"£"#,##0.00</c:formatCode>
                <c:ptCount val="11"/>
                <c:pt idx="0">
                  <c:v>-20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6E-40A2-8B40-D59A4CE66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4690815"/>
        <c:axId val="874680735"/>
      </c:lineChart>
      <c:catAx>
        <c:axId val="87469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12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80735"/>
        <c:crosses val="autoZero"/>
        <c:auto val="1"/>
        <c:lblAlgn val="ctr"/>
        <c:lblOffset val="100"/>
        <c:noMultiLvlLbl val="0"/>
      </c:catAx>
      <c:valAx>
        <c:axId val="87468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9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'Darren Daly'!$A$22</c:f>
              <c:strCache>
                <c:ptCount val="1"/>
                <c:pt idx="0">
                  <c:v>Total Money Spent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'Darren Daly'!$B$21:$L$21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28/06/2026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'Darren Daly'!$B$22:$L$22</c:f>
              <c:numCache>
                <c:formatCode>"£"#,##0.00</c:formatCode>
                <c:ptCount val="11"/>
                <c:pt idx="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09-4EEE-9E1D-5D47BF6F88D8}"/>
            </c:ext>
          </c:extLst>
        </c:ser>
        <c:ser>
          <c:idx val="1"/>
          <c:order val="1"/>
          <c:tx>
            <c:strRef>
              <c:f>'Darren Daly'!$A$23</c:f>
              <c:strCache>
                <c:ptCount val="1"/>
                <c:pt idx="0">
                  <c:v>Rebuys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'Darren Daly'!$B$21:$L$21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28/06/2026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'Darren Daly'!$B$23:$L$23</c:f>
              <c:numCache>
                <c:formatCode>"£"#,##0.00</c:formatCode>
                <c:ptCount val="1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09-4EEE-9E1D-5D47BF6F88D8}"/>
            </c:ext>
          </c:extLst>
        </c:ser>
        <c:ser>
          <c:idx val="2"/>
          <c:order val="2"/>
          <c:tx>
            <c:strRef>
              <c:f>'Darren Daly'!$A$24</c:f>
              <c:strCache>
                <c:ptCount val="1"/>
                <c:pt idx="0">
                  <c:v>Add-Ons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'Darren Daly'!$B$21:$L$21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28/06/2026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'Darren Daly'!$B$24:$L$24</c:f>
              <c:numCache>
                <c:formatCode>"£"#,##0.00</c:formatCode>
                <c:ptCount val="11"/>
                <c:pt idx="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09-4EEE-9E1D-5D47BF6F88D8}"/>
            </c:ext>
          </c:extLst>
        </c:ser>
        <c:ser>
          <c:idx val="3"/>
          <c:order val="3"/>
          <c:tx>
            <c:strRef>
              <c:f>'Darren Daly'!$A$25</c:f>
              <c:strCache>
                <c:ptCount val="1"/>
                <c:pt idx="0">
                  <c:v>Profit/Loss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'Darren Daly'!$B$21:$L$21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28/06/2026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'Darren Daly'!$B$25:$L$25</c:f>
              <c:numCache>
                <c:formatCode>"£"#,##0.00</c:formatCode>
                <c:ptCount val="11"/>
                <c:pt idx="0">
                  <c:v>-20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09-4EEE-9E1D-5D47BF6F8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4690815"/>
        <c:axId val="874680735"/>
      </c:lineChart>
      <c:catAx>
        <c:axId val="87469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12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80735"/>
        <c:crosses val="autoZero"/>
        <c:auto val="1"/>
        <c:lblAlgn val="ctr"/>
        <c:lblOffset val="100"/>
        <c:noMultiLvlLbl val="0"/>
      </c:catAx>
      <c:valAx>
        <c:axId val="87468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9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'Chris Daly'!$A$22</c:f>
              <c:strCache>
                <c:ptCount val="1"/>
                <c:pt idx="0">
                  <c:v>Total Money Spent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'Chris Daly'!$B$21:$L$21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29/06/2026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'Chris Daly'!$B$22:$L$22</c:f>
              <c:numCache>
                <c:formatCode>"£"#,##0.00</c:formatCode>
                <c:ptCount val="11"/>
                <c:pt idx="0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7D-4222-9916-8D00E7B09812}"/>
            </c:ext>
          </c:extLst>
        </c:ser>
        <c:ser>
          <c:idx val="1"/>
          <c:order val="1"/>
          <c:tx>
            <c:strRef>
              <c:f>'Chris Daly'!$A$23</c:f>
              <c:strCache>
                <c:ptCount val="1"/>
                <c:pt idx="0">
                  <c:v>Rebuys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'Chris Daly'!$B$21:$L$21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29/06/2026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'Chris Daly'!$B$23:$L$23</c:f>
              <c:numCache>
                <c:formatCode>"£"#,##0.00</c:formatCode>
                <c:ptCount val="11"/>
                <c:pt idx="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7D-4222-9916-8D00E7B09812}"/>
            </c:ext>
          </c:extLst>
        </c:ser>
        <c:ser>
          <c:idx val="2"/>
          <c:order val="2"/>
          <c:tx>
            <c:strRef>
              <c:f>'Chris Daly'!$A$24</c:f>
              <c:strCache>
                <c:ptCount val="1"/>
                <c:pt idx="0">
                  <c:v>Add-Ons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'Chris Daly'!$B$21:$L$21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29/06/2026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'Chris Daly'!$B$24:$L$24</c:f>
              <c:numCache>
                <c:formatCode>"£"#,##0.00</c:formatCode>
                <c:ptCount val="11"/>
                <c:pt idx="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7D-4222-9916-8D00E7B09812}"/>
            </c:ext>
          </c:extLst>
        </c:ser>
        <c:ser>
          <c:idx val="3"/>
          <c:order val="3"/>
          <c:tx>
            <c:strRef>
              <c:f>'Chris Daly'!$A$25</c:f>
              <c:strCache>
                <c:ptCount val="1"/>
                <c:pt idx="0">
                  <c:v>Profit/Loss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'Chris Daly'!$B$21:$L$21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29/06/2026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'Chris Daly'!$B$25:$L$25</c:f>
              <c:numCache>
                <c:formatCode>"£"#,##0.00</c:formatCode>
                <c:ptCount val="11"/>
                <c:pt idx="0">
                  <c:v>-30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7D-4222-9916-8D00E7B09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4690815"/>
        <c:axId val="874680735"/>
      </c:lineChart>
      <c:catAx>
        <c:axId val="87469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12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80735"/>
        <c:crosses val="autoZero"/>
        <c:auto val="1"/>
        <c:lblAlgn val="ctr"/>
        <c:lblOffset val="100"/>
        <c:noMultiLvlLbl val="0"/>
      </c:catAx>
      <c:valAx>
        <c:axId val="87468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9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ln>
                  <a:solidFill>
                    <a:schemeClr val="bg1"/>
                  </a:solidFill>
                </a:ln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ln>
                <a:solidFill>
                  <a:schemeClr val="bg1"/>
                </a:solidFill>
              </a:ln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'Stephen Flood'!$A$22</c:f>
              <c:strCache>
                <c:ptCount val="1"/>
                <c:pt idx="0">
                  <c:v>Total Money Spent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'Stephen Flood'!$B$21:$L$21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30/06/2026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'Stephen Flood'!$B$22:$L$22</c:f>
              <c:numCache>
                <c:formatCode>"£"#,##0.00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10-438C-A5ED-1C9A86EC8B40}"/>
            </c:ext>
          </c:extLst>
        </c:ser>
        <c:ser>
          <c:idx val="1"/>
          <c:order val="1"/>
          <c:tx>
            <c:strRef>
              <c:f>'Stephen Flood'!$A$23</c:f>
              <c:strCache>
                <c:ptCount val="1"/>
                <c:pt idx="0">
                  <c:v>Rebuys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'Stephen Flood'!$B$21:$L$21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30/06/2026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'Stephen Flood'!$B$23:$L$23</c:f>
              <c:numCache>
                <c:formatCode>"£"#,##0.00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10-438C-A5ED-1C9A86EC8B40}"/>
            </c:ext>
          </c:extLst>
        </c:ser>
        <c:ser>
          <c:idx val="2"/>
          <c:order val="2"/>
          <c:tx>
            <c:strRef>
              <c:f>'Stephen Flood'!$A$24</c:f>
              <c:strCache>
                <c:ptCount val="1"/>
                <c:pt idx="0">
                  <c:v>Add-Ons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'Stephen Flood'!$B$21:$L$21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30/06/2026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'Stephen Flood'!$B$24:$L$24</c:f>
              <c:numCache>
                <c:formatCode>"£"#,##0.00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10-438C-A5ED-1C9A86EC8B40}"/>
            </c:ext>
          </c:extLst>
        </c:ser>
        <c:ser>
          <c:idx val="3"/>
          <c:order val="3"/>
          <c:tx>
            <c:strRef>
              <c:f>'Stephen Flood'!$A$25</c:f>
              <c:strCache>
                <c:ptCount val="1"/>
                <c:pt idx="0">
                  <c:v>Profit/Loss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'Stephen Flood'!$B$21:$L$21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30/06/2026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'Stephen Flood'!$B$25:$L$25</c:f>
              <c:numCache>
                <c:formatCode>"£"#,##0.00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10-438C-A5ED-1C9A86EC8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4690815"/>
        <c:axId val="874680735"/>
      </c:lineChart>
      <c:catAx>
        <c:axId val="87469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1200000" spcFirstLastPara="1" vertOverflow="ellipsis" wrap="square" anchor="ctr" anchorCtr="1"/>
          <a:lstStyle/>
          <a:p>
            <a:pPr>
              <a:defRPr sz="900" b="0" i="0" u="none" strike="noStrike" kern="1200" baseline="0">
                <a:ln w="0"/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80735"/>
        <c:crosses val="autoZero"/>
        <c:auto val="1"/>
        <c:lblAlgn val="ctr"/>
        <c:lblOffset val="100"/>
        <c:noMultiLvlLbl val="0"/>
      </c:catAx>
      <c:valAx>
        <c:axId val="87468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90815"/>
        <c:crosses val="autoZero"/>
        <c:crossBetween val="between"/>
      </c:valAx>
      <c:spPr>
        <a:noFill/>
        <a:ln w="0">
          <a:solidFill>
            <a:schemeClr val="bg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bg1"/>
                </a:solidFill>
              </a:ln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n>
            <a:solidFill>
              <a:schemeClr val="bg1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ln>
                  <a:solidFill>
                    <a:schemeClr val="bg1"/>
                  </a:solidFill>
                </a:ln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ln>
                <a:solidFill>
                  <a:schemeClr val="bg1"/>
                </a:solidFill>
              </a:ln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'Phil Landsberger'!$A$22</c:f>
              <c:strCache>
                <c:ptCount val="1"/>
                <c:pt idx="0">
                  <c:v>Total Money Spent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'Phil Landsberger'!$B$21:$L$21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31/06/2026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'Phil Landsberger'!$B$22:$L$22</c:f>
              <c:numCache>
                <c:formatCode>"£"#,##0.00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FD-4478-9A5D-802DFCA73768}"/>
            </c:ext>
          </c:extLst>
        </c:ser>
        <c:ser>
          <c:idx val="1"/>
          <c:order val="1"/>
          <c:tx>
            <c:strRef>
              <c:f>'Phil Landsberger'!$A$23</c:f>
              <c:strCache>
                <c:ptCount val="1"/>
                <c:pt idx="0">
                  <c:v>Rebuys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'Phil Landsberger'!$B$21:$L$21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31/06/2026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'Phil Landsberger'!$B$23:$L$23</c:f>
              <c:numCache>
                <c:formatCode>"£"#,##0.00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FD-4478-9A5D-802DFCA73768}"/>
            </c:ext>
          </c:extLst>
        </c:ser>
        <c:ser>
          <c:idx val="2"/>
          <c:order val="2"/>
          <c:tx>
            <c:strRef>
              <c:f>'Phil Landsberger'!$A$24</c:f>
              <c:strCache>
                <c:ptCount val="1"/>
                <c:pt idx="0">
                  <c:v>Add-Ons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'Phil Landsberger'!$B$21:$L$21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31/06/2026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'Phil Landsberger'!$B$24:$L$24</c:f>
              <c:numCache>
                <c:formatCode>"£"#,##0.00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FD-4478-9A5D-802DFCA73768}"/>
            </c:ext>
          </c:extLst>
        </c:ser>
        <c:ser>
          <c:idx val="3"/>
          <c:order val="3"/>
          <c:tx>
            <c:strRef>
              <c:f>'Phil Landsberger'!$A$25</c:f>
              <c:strCache>
                <c:ptCount val="1"/>
                <c:pt idx="0">
                  <c:v>Profit/Loss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'Phil Landsberger'!$B$21:$L$21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31/06/2026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'Phil Landsberger'!$B$25:$L$25</c:f>
              <c:numCache>
                <c:formatCode>"£"#,##0.00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FD-4478-9A5D-802DFCA73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4690815"/>
        <c:axId val="874680735"/>
      </c:lineChart>
      <c:catAx>
        <c:axId val="87469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1200000" spcFirstLastPara="1" vertOverflow="ellipsis" wrap="square" anchor="ctr" anchorCtr="1"/>
          <a:lstStyle/>
          <a:p>
            <a:pPr>
              <a:defRPr sz="900" b="0" i="0" u="none" strike="noStrike" kern="1200" baseline="0">
                <a:ln w="0"/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80735"/>
        <c:crosses val="autoZero"/>
        <c:auto val="1"/>
        <c:lblAlgn val="ctr"/>
        <c:lblOffset val="100"/>
        <c:noMultiLvlLbl val="0"/>
      </c:catAx>
      <c:valAx>
        <c:axId val="87468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90815"/>
        <c:crosses val="autoZero"/>
        <c:crossBetween val="between"/>
      </c:valAx>
      <c:spPr>
        <a:noFill/>
        <a:ln w="0">
          <a:solidFill>
            <a:schemeClr val="bg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bg1"/>
                </a:solidFill>
              </a:ln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n>
            <a:solidFill>
              <a:schemeClr val="bg1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ln>
                  <a:solidFill>
                    <a:schemeClr val="bg1"/>
                  </a:solidFill>
                </a:ln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ln>
                <a:solidFill>
                  <a:schemeClr val="bg1"/>
                </a:solidFill>
              </a:ln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'Liam Duxbury'!$A$22</c:f>
              <c:strCache>
                <c:ptCount val="1"/>
                <c:pt idx="0">
                  <c:v>Total Money Spent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'Liam Duxbury'!$B$21:$L$21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32/06/2026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'Liam Duxbury'!$B$22:$L$22</c:f>
              <c:numCache>
                <c:formatCode>"£"#,##0.00</c:formatCode>
                <c:ptCount val="11"/>
                <c:pt idx="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FD-4703-8EA6-0C90277E4172}"/>
            </c:ext>
          </c:extLst>
        </c:ser>
        <c:ser>
          <c:idx val="1"/>
          <c:order val="1"/>
          <c:tx>
            <c:strRef>
              <c:f>'Liam Duxbury'!$A$23</c:f>
              <c:strCache>
                <c:ptCount val="1"/>
                <c:pt idx="0">
                  <c:v>Rebuys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'Liam Duxbury'!$B$21:$L$21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32/06/2026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'Liam Duxbury'!$B$23:$L$23</c:f>
              <c:numCache>
                <c:formatCode>"£"#,##0.00</c:formatCode>
                <c:ptCount val="11"/>
                <c:pt idx="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FD-4703-8EA6-0C90277E4172}"/>
            </c:ext>
          </c:extLst>
        </c:ser>
        <c:ser>
          <c:idx val="2"/>
          <c:order val="2"/>
          <c:tx>
            <c:strRef>
              <c:f>'Liam Duxbury'!$A$24</c:f>
              <c:strCache>
                <c:ptCount val="1"/>
                <c:pt idx="0">
                  <c:v>Add-Ons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'Liam Duxbury'!$B$21:$L$21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32/06/2026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'Liam Duxbury'!$B$24:$L$24</c:f>
              <c:numCache>
                <c:formatCode>"£"#,##0.00</c:formatCode>
                <c:ptCount val="11"/>
                <c:pt idx="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FD-4703-8EA6-0C90277E4172}"/>
            </c:ext>
          </c:extLst>
        </c:ser>
        <c:ser>
          <c:idx val="3"/>
          <c:order val="3"/>
          <c:tx>
            <c:strRef>
              <c:f>'Liam Duxbury'!$A$25</c:f>
              <c:strCache>
                <c:ptCount val="1"/>
                <c:pt idx="0">
                  <c:v>Profit/Loss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'Liam Duxbury'!$B$21:$L$21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32/06/2026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'Liam Duxbury'!$B$25:$L$25</c:f>
              <c:numCache>
                <c:formatCode>"£"#,##0.00</c:formatCode>
                <c:ptCount val="11"/>
                <c:pt idx="0">
                  <c:v>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FD-4703-8EA6-0C90277E4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4690815"/>
        <c:axId val="874680735"/>
      </c:lineChart>
      <c:catAx>
        <c:axId val="87469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1200000" spcFirstLastPara="1" vertOverflow="ellipsis" wrap="square" anchor="ctr" anchorCtr="1"/>
          <a:lstStyle/>
          <a:p>
            <a:pPr>
              <a:defRPr sz="900" b="0" i="0" u="none" strike="noStrike" kern="1200" baseline="0">
                <a:ln w="0"/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80735"/>
        <c:crosses val="autoZero"/>
        <c:auto val="1"/>
        <c:lblAlgn val="ctr"/>
        <c:lblOffset val="100"/>
        <c:noMultiLvlLbl val="0"/>
      </c:catAx>
      <c:valAx>
        <c:axId val="87468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0"/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90815"/>
        <c:crosses val="autoZero"/>
        <c:crossBetween val="between"/>
      </c:valAx>
      <c:spPr>
        <a:noFill/>
        <a:ln w="0">
          <a:solidFill>
            <a:schemeClr val="bg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 w="0"/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n>
            <a:solidFill>
              <a:schemeClr val="bg1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ln>
                  <a:solidFill>
                    <a:schemeClr val="bg1"/>
                  </a:solidFill>
                </a:ln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ln>
                <a:solidFill>
                  <a:schemeClr val="bg1"/>
                </a:solidFill>
              </a:ln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'Nathen Benson'!$A$22</c:f>
              <c:strCache>
                <c:ptCount val="1"/>
                <c:pt idx="0">
                  <c:v>Total Money Spent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'Nathen Benson'!$B$21:$L$21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33/06/2026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'Nathen Benson'!$B$22:$L$22</c:f>
              <c:numCache>
                <c:formatCode>"£"#,##0.00</c:formatCode>
                <c:ptCount val="11"/>
                <c:pt idx="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B-4D2B-866A-3D5D6099B7F8}"/>
            </c:ext>
          </c:extLst>
        </c:ser>
        <c:ser>
          <c:idx val="1"/>
          <c:order val="1"/>
          <c:tx>
            <c:strRef>
              <c:f>'Nathen Benson'!$A$23</c:f>
              <c:strCache>
                <c:ptCount val="1"/>
                <c:pt idx="0">
                  <c:v>Rebuys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'Nathen Benson'!$B$21:$L$21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33/06/2026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'Nathen Benson'!$B$23:$L$23</c:f>
              <c:numCache>
                <c:formatCode>"£"#,##0.00</c:formatCode>
                <c:ptCount val="1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EB-4D2B-866A-3D5D6099B7F8}"/>
            </c:ext>
          </c:extLst>
        </c:ser>
        <c:ser>
          <c:idx val="2"/>
          <c:order val="2"/>
          <c:tx>
            <c:strRef>
              <c:f>'Nathen Benson'!$A$24</c:f>
              <c:strCache>
                <c:ptCount val="1"/>
                <c:pt idx="0">
                  <c:v>Add-Ons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'Nathen Benson'!$B$21:$L$21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33/06/2026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'Nathen Benson'!$B$24:$L$24</c:f>
              <c:numCache>
                <c:formatCode>"£"#,##0.00</c:formatCode>
                <c:ptCount val="11"/>
                <c:pt idx="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EB-4D2B-866A-3D5D6099B7F8}"/>
            </c:ext>
          </c:extLst>
        </c:ser>
        <c:ser>
          <c:idx val="3"/>
          <c:order val="3"/>
          <c:tx>
            <c:strRef>
              <c:f>'Nathen Benson'!$A$25</c:f>
              <c:strCache>
                <c:ptCount val="1"/>
                <c:pt idx="0">
                  <c:v>Profit/Loss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'Nathen Benson'!$B$21:$L$21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33/06/2026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'Nathen Benson'!$B$25:$L$25</c:f>
              <c:numCache>
                <c:formatCode>"£"#,##0.00</c:formatCode>
                <c:ptCount val="11"/>
                <c:pt idx="0">
                  <c:v>-20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EB-4D2B-866A-3D5D6099B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4690815"/>
        <c:axId val="874680735"/>
      </c:lineChart>
      <c:catAx>
        <c:axId val="87469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1200000" spcFirstLastPara="1" vertOverflow="ellipsis" wrap="square" anchor="ctr" anchorCtr="1"/>
          <a:lstStyle/>
          <a:p>
            <a:pPr>
              <a:defRPr sz="900" b="0" i="0" u="none" strike="noStrike" kern="1200" baseline="0">
                <a:ln w="0"/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80735"/>
        <c:crosses val="autoZero"/>
        <c:auto val="1"/>
        <c:lblAlgn val="ctr"/>
        <c:lblOffset val="100"/>
        <c:noMultiLvlLbl val="0"/>
      </c:catAx>
      <c:valAx>
        <c:axId val="87468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0"/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90815"/>
        <c:crosses val="autoZero"/>
        <c:crossBetween val="between"/>
      </c:valAx>
      <c:spPr>
        <a:noFill/>
        <a:ln w="0">
          <a:solidFill>
            <a:schemeClr val="bg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 w="0"/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n>
            <a:solidFill>
              <a:schemeClr val="bg1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ln>
                  <a:solidFill>
                    <a:schemeClr val="bg1"/>
                  </a:solidFill>
                </a:ln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ln>
                <a:solidFill>
                  <a:schemeClr val="bg1"/>
                </a:solidFill>
              </a:ln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'Dave Taylor'!$A$22</c:f>
              <c:strCache>
                <c:ptCount val="1"/>
                <c:pt idx="0">
                  <c:v>Total Money Spent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'Dave Taylor'!$B$21:$L$21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34/06/2026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'Dave Taylor'!$B$22:$L$22</c:f>
              <c:numCache>
                <c:formatCode>"£"#,##0.00</c:formatCode>
                <c:ptCount val="11"/>
                <c:pt idx="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8F-4102-B5F0-B31B5A9BAF35}"/>
            </c:ext>
          </c:extLst>
        </c:ser>
        <c:ser>
          <c:idx val="1"/>
          <c:order val="1"/>
          <c:tx>
            <c:strRef>
              <c:f>'Dave Taylor'!$A$23</c:f>
              <c:strCache>
                <c:ptCount val="1"/>
                <c:pt idx="0">
                  <c:v>Rebuys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'Dave Taylor'!$B$21:$L$21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34/06/2026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'Dave Taylor'!$B$23:$L$23</c:f>
              <c:numCache>
                <c:formatCode>"£"#,##0.00</c:formatCode>
                <c:ptCount val="1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8F-4102-B5F0-B31B5A9BAF35}"/>
            </c:ext>
          </c:extLst>
        </c:ser>
        <c:ser>
          <c:idx val="2"/>
          <c:order val="2"/>
          <c:tx>
            <c:strRef>
              <c:f>'Dave Taylor'!$A$24</c:f>
              <c:strCache>
                <c:ptCount val="1"/>
                <c:pt idx="0">
                  <c:v>Add-Ons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'Dave Taylor'!$B$21:$L$21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34/06/2026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'Dave Taylor'!$B$24:$L$24</c:f>
              <c:numCache>
                <c:formatCode>"£"#,##0.00</c:formatCode>
                <c:ptCount val="11"/>
                <c:pt idx="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8F-4102-B5F0-B31B5A9BAF35}"/>
            </c:ext>
          </c:extLst>
        </c:ser>
        <c:ser>
          <c:idx val="3"/>
          <c:order val="3"/>
          <c:tx>
            <c:strRef>
              <c:f>'Dave Taylor'!$A$25</c:f>
              <c:strCache>
                <c:ptCount val="1"/>
                <c:pt idx="0">
                  <c:v>Profit/Loss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'Dave Taylor'!$B$21:$L$21</c:f>
              <c:strCache>
                <c:ptCount val="11"/>
                <c:pt idx="0">
                  <c:v>26/01/2026</c:v>
                </c:pt>
                <c:pt idx="1">
                  <c:v>21/02/2026</c:v>
                </c:pt>
                <c:pt idx="2">
                  <c:v>21/03/2026</c:v>
                </c:pt>
                <c:pt idx="3">
                  <c:v>26/04/2026</c:v>
                </c:pt>
                <c:pt idx="4">
                  <c:v>23/05/2026</c:v>
                </c:pt>
                <c:pt idx="5">
                  <c:v>34/06/2026</c:v>
                </c:pt>
                <c:pt idx="6">
                  <c:v>26/07/2026</c:v>
                </c:pt>
                <c:pt idx="7">
                  <c:v>22/08/2026</c:v>
                </c:pt>
                <c:pt idx="8">
                  <c:v>26/09/2026</c:v>
                </c:pt>
                <c:pt idx="9">
                  <c:v>26/10/2026</c:v>
                </c:pt>
                <c:pt idx="10">
                  <c:v>Final</c:v>
                </c:pt>
              </c:strCache>
            </c:strRef>
          </c:cat>
          <c:val>
            <c:numRef>
              <c:f>'Dave Taylor'!$B$25:$L$25</c:f>
              <c:numCache>
                <c:formatCode>"£"#,##0.00</c:formatCode>
                <c:ptCount val="11"/>
                <c:pt idx="0">
                  <c:v>-20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8F-4102-B5F0-B31B5A9BA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4690815"/>
        <c:axId val="874680735"/>
      </c:lineChart>
      <c:catAx>
        <c:axId val="87469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1200000" spcFirstLastPara="1" vertOverflow="ellipsis" wrap="square" anchor="ctr" anchorCtr="1"/>
          <a:lstStyle/>
          <a:p>
            <a:pPr>
              <a:defRPr sz="900" b="0" i="0" u="none" strike="noStrike" kern="1200" baseline="0">
                <a:ln w="0"/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80735"/>
        <c:crosses val="autoZero"/>
        <c:auto val="1"/>
        <c:lblAlgn val="ctr"/>
        <c:lblOffset val="100"/>
        <c:noMultiLvlLbl val="0"/>
      </c:catAx>
      <c:valAx>
        <c:axId val="87468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0"/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90815"/>
        <c:crosses val="autoZero"/>
        <c:crossBetween val="between"/>
      </c:valAx>
      <c:spPr>
        <a:noFill/>
        <a:ln w="0">
          <a:solidFill>
            <a:schemeClr val="bg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 w="0"/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n>
            <a:solidFill>
              <a:schemeClr val="bg1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Stephen Flood'!A1"/><Relationship Id="rId13" Type="http://schemas.openxmlformats.org/officeDocument/2006/relationships/hyperlink" Target="#Sheet1!A1"/><Relationship Id="rId3" Type="http://schemas.openxmlformats.org/officeDocument/2006/relationships/hyperlink" Target="#'Georgina Wearing'!A1"/><Relationship Id="rId7" Type="http://schemas.openxmlformats.org/officeDocument/2006/relationships/hyperlink" Target="#'Chris Daly'!A1"/><Relationship Id="rId12" Type="http://schemas.openxmlformats.org/officeDocument/2006/relationships/hyperlink" Target="#'Dave Taylor'!A1"/><Relationship Id="rId2" Type="http://schemas.openxmlformats.org/officeDocument/2006/relationships/hyperlink" Target="#'Edward Wearing '!A1"/><Relationship Id="rId1" Type="http://schemas.openxmlformats.org/officeDocument/2006/relationships/image" Target="../media/image1.jpg"/><Relationship Id="rId6" Type="http://schemas.openxmlformats.org/officeDocument/2006/relationships/hyperlink" Target="#'Darren Daly'!A1"/><Relationship Id="rId11" Type="http://schemas.openxmlformats.org/officeDocument/2006/relationships/hyperlink" Target="#'Nathen Benson'!A1"/><Relationship Id="rId5" Type="http://schemas.openxmlformats.org/officeDocument/2006/relationships/hyperlink" Target="#'Daniel Horne'!A1"/><Relationship Id="rId10" Type="http://schemas.openxmlformats.org/officeDocument/2006/relationships/hyperlink" Target="#'Liam Duxbury'!A1"/><Relationship Id="rId4" Type="http://schemas.openxmlformats.org/officeDocument/2006/relationships/hyperlink" Target="#'Luke Daly'!A1"/><Relationship Id="rId9" Type="http://schemas.openxmlformats.org/officeDocument/2006/relationships/hyperlink" Target="#'Phil Landsberger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Home Page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hyperlink" Target="#Sheet1!A1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hyperlink" Target="#'Home Page'!A1"/><Relationship Id="rId4" Type="http://schemas.openxmlformats.org/officeDocument/2006/relationships/image" Target="../media/image5.sv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hyperlink" Target="#Sheet1!A1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hyperlink" Target="#'Home Page'!A1"/><Relationship Id="rId5" Type="http://schemas.openxmlformats.org/officeDocument/2006/relationships/chart" Target="../charts/chart2.xml"/><Relationship Id="rId4" Type="http://schemas.openxmlformats.org/officeDocument/2006/relationships/image" Target="../media/image5.sv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hyperlink" Target="#Sheet1!A1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hyperlink" Target="#'Home Page'!A1"/><Relationship Id="rId5" Type="http://schemas.openxmlformats.org/officeDocument/2006/relationships/chart" Target="../charts/chart3.xml"/><Relationship Id="rId4" Type="http://schemas.openxmlformats.org/officeDocument/2006/relationships/image" Target="../media/image5.sv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hyperlink" Target="#Sheet1!A1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hyperlink" Target="#'Home Page'!A1"/><Relationship Id="rId5" Type="http://schemas.openxmlformats.org/officeDocument/2006/relationships/chart" Target="../charts/chart4.xml"/><Relationship Id="rId4" Type="http://schemas.openxmlformats.org/officeDocument/2006/relationships/image" Target="../media/image5.sv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hyperlink" Target="#Sheet1!A1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hyperlink" Target="#'Home Page'!A1"/><Relationship Id="rId5" Type="http://schemas.openxmlformats.org/officeDocument/2006/relationships/chart" Target="../charts/chart5.xml"/><Relationship Id="rId4" Type="http://schemas.openxmlformats.org/officeDocument/2006/relationships/image" Target="../media/image5.sv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hyperlink" Target="#Sheet1!A1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hyperlink" Target="#'Home Page'!A1"/><Relationship Id="rId5" Type="http://schemas.openxmlformats.org/officeDocument/2006/relationships/chart" Target="../charts/chart6.xml"/><Relationship Id="rId4" Type="http://schemas.openxmlformats.org/officeDocument/2006/relationships/image" Target="../media/image5.sv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hyperlink" Target="#Sheet1!A1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hyperlink" Target="#'Home Page'!A1"/><Relationship Id="rId5" Type="http://schemas.openxmlformats.org/officeDocument/2006/relationships/chart" Target="../charts/chart7.xml"/><Relationship Id="rId4" Type="http://schemas.openxmlformats.org/officeDocument/2006/relationships/image" Target="../media/image5.sv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hyperlink" Target="#Sheet1!A1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hyperlink" Target="#'Home Page'!A1"/><Relationship Id="rId5" Type="http://schemas.openxmlformats.org/officeDocument/2006/relationships/chart" Target="../charts/chart8.xml"/><Relationship Id="rId4" Type="http://schemas.openxmlformats.org/officeDocument/2006/relationships/image" Target="../media/image5.sv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hyperlink" Target="#Sheet1!A1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hyperlink" Target="#'Home Page'!A1"/><Relationship Id="rId5" Type="http://schemas.openxmlformats.org/officeDocument/2006/relationships/chart" Target="../charts/chart9.xml"/><Relationship Id="rId4" Type="http://schemas.openxmlformats.org/officeDocument/2006/relationships/image" Target="../media/image5.sv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hyperlink" Target="#Sheet1!A1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hyperlink" Target="#'Home Page'!A1"/><Relationship Id="rId5" Type="http://schemas.openxmlformats.org/officeDocument/2006/relationships/chart" Target="../charts/chart10.xml"/><Relationship Id="rId4" Type="http://schemas.openxmlformats.org/officeDocument/2006/relationships/image" Target="../media/image5.sv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hyperlink" Target="#Sheet1!A1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hyperlink" Target="#'Home Page'!A1"/><Relationship Id="rId5" Type="http://schemas.openxmlformats.org/officeDocument/2006/relationships/chart" Target="../charts/chart11.xml"/><Relationship Id="rId4" Type="http://schemas.openxmlformats.org/officeDocument/2006/relationships/image" Target="../media/image5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333376</xdr:colOff>
      <xdr:row>1</xdr:row>
      <xdr:rowOff>19049</xdr:rowOff>
    </xdr:from>
    <xdr:to>
      <xdr:col>18</xdr:col>
      <xdr:colOff>314326</xdr:colOff>
      <xdr:row>27</xdr:row>
      <xdr:rowOff>180974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3368E2-B7CA-7CBC-A3A3-C18EF68A87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399" b="13105"/>
        <a:stretch>
          <a:fillRect/>
        </a:stretch>
      </xdr:blipFill>
      <xdr:spPr>
        <a:xfrm>
          <a:off x="4600576" y="209549"/>
          <a:ext cx="6686550" cy="51149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0</xdr:col>
      <xdr:colOff>266700</xdr:colOff>
      <xdr:row>1</xdr:row>
      <xdr:rowOff>161925</xdr:rowOff>
    </xdr:from>
    <xdr:to>
      <xdr:col>7</xdr:col>
      <xdr:colOff>238125</xdr:colOff>
      <xdr:row>27</xdr:row>
      <xdr:rowOff>142875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2411014-578E-F485-CE8D-8AC5D8851D69}"/>
            </a:ext>
          </a:extLst>
        </xdr:cNvPr>
        <xdr:cNvGrpSpPr/>
      </xdr:nvGrpSpPr>
      <xdr:grpSpPr>
        <a:xfrm>
          <a:off x="266700" y="352425"/>
          <a:ext cx="4238625" cy="4933950"/>
          <a:chOff x="6981825" y="323850"/>
          <a:chExt cx="4238625" cy="4933950"/>
        </a:xfrm>
      </xdr:grpSpPr>
      <xdr:sp macro="" textlink="">
        <xdr:nvSpPr>
          <xdr:cNvPr id="5" name="Rectangle: Rounded Corners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558E670A-E1AC-4BA8-A968-2D956D35C0E7}"/>
              </a:ext>
            </a:extLst>
          </xdr:cNvPr>
          <xdr:cNvSpPr/>
        </xdr:nvSpPr>
        <xdr:spPr>
          <a:xfrm>
            <a:off x="6981825" y="1762125"/>
            <a:ext cx="2047875" cy="514350"/>
          </a:xfrm>
          <a:prstGeom prst="roundRect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GB" sz="2400"/>
              <a:t>Edward</a:t>
            </a:r>
            <a:endParaRPr lang="en-GB" sz="3200"/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EFA15423-E8E6-491B-A24D-F7B54615ED94}"/>
              </a:ext>
            </a:extLst>
          </xdr:cNvPr>
          <xdr:cNvSpPr/>
        </xdr:nvSpPr>
        <xdr:spPr>
          <a:xfrm>
            <a:off x="9144000" y="1762125"/>
            <a:ext cx="2047875" cy="514350"/>
          </a:xfrm>
          <a:prstGeom prst="roundRect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GB" sz="2400"/>
              <a:t>Georgina</a:t>
            </a:r>
            <a:endParaRPr lang="en-GB" sz="3200"/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46A52C97-F61F-4800-AA01-469BFBEA8FB6}"/>
              </a:ext>
            </a:extLst>
          </xdr:cNvPr>
          <xdr:cNvSpPr/>
        </xdr:nvSpPr>
        <xdr:spPr>
          <a:xfrm>
            <a:off x="7000875" y="2362200"/>
            <a:ext cx="2047875" cy="514350"/>
          </a:xfrm>
          <a:prstGeom prst="roundRect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GB" sz="2400"/>
              <a:t>Luke</a:t>
            </a:r>
            <a:endParaRPr lang="en-GB" sz="3200"/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92B25ADF-CC0A-4E29-BE94-9D5486CF3936}"/>
              </a:ext>
            </a:extLst>
          </xdr:cNvPr>
          <xdr:cNvSpPr/>
        </xdr:nvSpPr>
        <xdr:spPr>
          <a:xfrm>
            <a:off x="9144000" y="2362200"/>
            <a:ext cx="2047875" cy="514350"/>
          </a:xfrm>
          <a:prstGeom prst="roundRect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GB" sz="2400"/>
              <a:t>Daniel</a:t>
            </a:r>
            <a:endParaRPr lang="en-GB" sz="3200"/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704891E4-E5A6-4E3D-B6B8-EEE6A4E908B0}"/>
              </a:ext>
            </a:extLst>
          </xdr:cNvPr>
          <xdr:cNvSpPr/>
        </xdr:nvSpPr>
        <xdr:spPr>
          <a:xfrm>
            <a:off x="7000875" y="2962275"/>
            <a:ext cx="2047875" cy="514350"/>
          </a:xfrm>
          <a:prstGeom prst="roundRect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GB" sz="2400"/>
              <a:t>Darren</a:t>
            </a:r>
            <a:endParaRPr lang="en-GB" sz="3200"/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994F5612-CD06-46D3-87EF-89201F6AC914}"/>
              </a:ext>
            </a:extLst>
          </xdr:cNvPr>
          <xdr:cNvSpPr/>
        </xdr:nvSpPr>
        <xdr:spPr>
          <a:xfrm>
            <a:off x="9163050" y="2962275"/>
            <a:ext cx="2047875" cy="514350"/>
          </a:xfrm>
          <a:prstGeom prst="roundRect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GB" sz="2400"/>
              <a:t>Chris</a:t>
            </a:r>
            <a:endParaRPr lang="en-GB" sz="3200"/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7DF8A629-5316-4D1A-9497-C0C80C91F3A4}"/>
              </a:ext>
            </a:extLst>
          </xdr:cNvPr>
          <xdr:cNvSpPr/>
        </xdr:nvSpPr>
        <xdr:spPr>
          <a:xfrm>
            <a:off x="7019925" y="3562350"/>
            <a:ext cx="2047875" cy="514350"/>
          </a:xfrm>
          <a:prstGeom prst="roundRect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GB" sz="2400"/>
              <a:t>Stephen</a:t>
            </a:r>
            <a:endParaRPr lang="en-GB" sz="3200"/>
          </a:p>
        </xdr:txBody>
      </xdr:sp>
      <xdr:sp macro="" textlink="">
        <xdr:nvSpPr>
          <xdr:cNvPr id="16" name="Rectangle: Rounded Corners 15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A7F8366E-2686-47B1-847D-CC652AF94FC2}"/>
              </a:ext>
            </a:extLst>
          </xdr:cNvPr>
          <xdr:cNvSpPr/>
        </xdr:nvSpPr>
        <xdr:spPr>
          <a:xfrm>
            <a:off x="9163050" y="3562350"/>
            <a:ext cx="2047875" cy="514350"/>
          </a:xfrm>
          <a:prstGeom prst="roundRect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GB" sz="2400"/>
              <a:t>Phil</a:t>
            </a:r>
            <a:endParaRPr lang="en-GB" sz="3200"/>
          </a:p>
        </xdr:txBody>
      </xdr:sp>
      <xdr:sp macro="" textlink="">
        <xdr:nvSpPr>
          <xdr:cNvPr id="17" name="Rectangle: Rounded Corners 16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568C6EC9-BAF6-480C-9281-1C0D375A229F}"/>
              </a:ext>
            </a:extLst>
          </xdr:cNvPr>
          <xdr:cNvSpPr/>
        </xdr:nvSpPr>
        <xdr:spPr>
          <a:xfrm>
            <a:off x="7029450" y="4143375"/>
            <a:ext cx="2047875" cy="514350"/>
          </a:xfrm>
          <a:prstGeom prst="roundRect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GB" sz="2400"/>
              <a:t>Liam</a:t>
            </a:r>
            <a:endParaRPr lang="en-GB" sz="3200"/>
          </a:p>
        </xdr:txBody>
      </xdr:sp>
      <xdr:sp macro="" textlink="">
        <xdr:nvSpPr>
          <xdr:cNvPr id="18" name="Rectangle: Rounded Corners 17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2D3E96E2-4774-4F5F-90C5-4C65FC336E45}"/>
              </a:ext>
            </a:extLst>
          </xdr:cNvPr>
          <xdr:cNvSpPr/>
        </xdr:nvSpPr>
        <xdr:spPr>
          <a:xfrm>
            <a:off x="9172575" y="4143375"/>
            <a:ext cx="2047875" cy="514350"/>
          </a:xfrm>
          <a:prstGeom prst="roundRect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GB" sz="2400"/>
              <a:t>Nathen</a:t>
            </a:r>
            <a:endParaRPr lang="en-GB" sz="3200"/>
          </a:p>
        </xdr:txBody>
      </xdr:sp>
      <xdr:sp macro="" textlink="">
        <xdr:nvSpPr>
          <xdr:cNvPr id="19" name="Rectangle: Rounded Corners 18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1E142408-465F-4D4B-BE2A-76FBA99BCCFC}"/>
              </a:ext>
            </a:extLst>
          </xdr:cNvPr>
          <xdr:cNvSpPr/>
        </xdr:nvSpPr>
        <xdr:spPr>
          <a:xfrm>
            <a:off x="8039100" y="4743450"/>
            <a:ext cx="2047875" cy="514350"/>
          </a:xfrm>
          <a:prstGeom prst="roundRect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GB" sz="2400"/>
              <a:t>Dave</a:t>
            </a:r>
            <a:endParaRPr lang="en-GB" sz="3200"/>
          </a:p>
        </xdr:txBody>
      </xdr:sp>
      <xdr:sp macro="" textlink="">
        <xdr:nvSpPr>
          <xdr:cNvPr id="21" name="Rectangle: Rounded Corners 20">
            <a:extLst>
              <a:ext uri="{FF2B5EF4-FFF2-40B4-BE49-F238E27FC236}">
                <a16:creationId xmlns:a16="http://schemas.microsoft.com/office/drawing/2014/main" id="{C193561E-E5B3-47D1-8167-A72BD0FEFE5C}"/>
              </a:ext>
            </a:extLst>
          </xdr:cNvPr>
          <xdr:cNvSpPr/>
        </xdr:nvSpPr>
        <xdr:spPr>
          <a:xfrm>
            <a:off x="7029450" y="323850"/>
            <a:ext cx="4143375" cy="514350"/>
          </a:xfrm>
          <a:prstGeom prst="roundRect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GB" sz="2400"/>
              <a:t>Select</a:t>
            </a:r>
            <a:r>
              <a:rPr lang="en-GB" sz="2400" baseline="0"/>
              <a:t> a Page</a:t>
            </a:r>
            <a:endParaRPr lang="en-GB" sz="3200"/>
          </a:p>
        </xdr:txBody>
      </xdr:sp>
      <xdr:sp macro="" textlink="">
        <xdr:nvSpPr>
          <xdr:cNvPr id="22" name="Rectangle: Rounded Corners 21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2975B597-AEA4-4C51-B455-32BDFB977EA8}"/>
              </a:ext>
            </a:extLst>
          </xdr:cNvPr>
          <xdr:cNvSpPr/>
        </xdr:nvSpPr>
        <xdr:spPr>
          <a:xfrm>
            <a:off x="7600950" y="1028700"/>
            <a:ext cx="3057525" cy="514350"/>
          </a:xfrm>
          <a:prstGeom prst="roundRect">
            <a:avLst/>
          </a:prstGeom>
          <a:solidFill>
            <a:srgbClr val="00B050"/>
          </a:solidFill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GB" sz="2400"/>
              <a:t>2026 League</a:t>
            </a:r>
            <a:endParaRPr lang="en-GB" sz="32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180975</xdr:rowOff>
    </xdr:from>
    <xdr:to>
      <xdr:col>0</xdr:col>
      <xdr:colOff>1714500</xdr:colOff>
      <xdr:row>3</xdr:row>
      <xdr:rowOff>123825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53A2E-7ED0-40FD-A981-1BEF2EC76763}"/>
            </a:ext>
          </a:extLst>
        </xdr:cNvPr>
        <xdr:cNvSpPr/>
      </xdr:nvSpPr>
      <xdr:spPr>
        <a:xfrm>
          <a:off x="104775" y="180975"/>
          <a:ext cx="1609725" cy="514350"/>
        </a:xfrm>
        <a:prstGeom prst="round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/>
            <a:t>Home </a:t>
          </a:r>
          <a:r>
            <a:rPr lang="en-GB" sz="2000"/>
            <a:t>Page</a:t>
          </a:r>
          <a:endParaRPr lang="en-GB" sz="3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47625</xdr:rowOff>
    </xdr:from>
    <xdr:to>
      <xdr:col>0</xdr:col>
      <xdr:colOff>914400</xdr:colOff>
      <xdr:row>4</xdr:row>
      <xdr:rowOff>180975</xdr:rowOff>
    </xdr:to>
    <xdr:pic>
      <xdr:nvPicPr>
        <xdr:cNvPr id="3" name="Graphic 2" descr="Crown with solid fill">
          <a:extLst>
            <a:ext uri="{FF2B5EF4-FFF2-40B4-BE49-F238E27FC236}">
              <a16:creationId xmlns:a16="http://schemas.microsoft.com/office/drawing/2014/main" id="{E5D91083-5B17-7CFD-5801-571A53A24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9906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171450</xdr:rowOff>
    </xdr:from>
    <xdr:to>
      <xdr:col>1</xdr:col>
      <xdr:colOff>609600</xdr:colOff>
      <xdr:row>4</xdr:row>
      <xdr:rowOff>0</xdr:rowOff>
    </xdr:to>
    <xdr:pic>
      <xdr:nvPicPr>
        <xdr:cNvPr id="5" name="Graphic 4" descr="Gambling Chips with solid fill">
          <a:extLst>
            <a:ext uri="{FF2B5EF4-FFF2-40B4-BE49-F238E27FC236}">
              <a16:creationId xmlns:a16="http://schemas.microsoft.com/office/drawing/2014/main" id="{C26DE5DA-F8B6-0AD7-BC84-2E0151CAC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866900" y="1114425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200025</xdr:colOff>
      <xdr:row>0</xdr:row>
      <xdr:rowOff>238126</xdr:rowOff>
    </xdr:from>
    <xdr:to>
      <xdr:col>6</xdr:col>
      <xdr:colOff>552450</xdr:colOff>
      <xdr:row>1</xdr:row>
      <xdr:rowOff>1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06B1885-324F-BC42-6EEF-4D82A3FB3EAC}"/>
            </a:ext>
          </a:extLst>
        </xdr:cNvPr>
        <xdr:cNvSpPr/>
      </xdr:nvSpPr>
      <xdr:spPr>
        <a:xfrm>
          <a:off x="4324350" y="238126"/>
          <a:ext cx="1571625" cy="514350"/>
        </a:xfrm>
        <a:prstGeom prst="round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/>
            <a:t>Home Page</a:t>
          </a:r>
          <a:endParaRPr lang="en-GB" sz="3200"/>
        </a:p>
      </xdr:txBody>
    </xdr:sp>
    <xdr:clientData/>
  </xdr:twoCellAnchor>
  <xdr:twoCellAnchor>
    <xdr:from>
      <xdr:col>4</xdr:col>
      <xdr:colOff>166686</xdr:colOff>
      <xdr:row>2</xdr:row>
      <xdr:rowOff>1</xdr:rowOff>
    </xdr:from>
    <xdr:to>
      <xdr:col>12</xdr:col>
      <xdr:colOff>600075</xdr:colOff>
      <xdr:row>19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02CAA57-DB49-EEB8-0BA8-A193605699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742950</xdr:colOff>
      <xdr:row>0</xdr:row>
      <xdr:rowOff>238126</xdr:rowOff>
    </xdr:from>
    <xdr:to>
      <xdr:col>9</xdr:col>
      <xdr:colOff>247650</xdr:colOff>
      <xdr:row>1</xdr:row>
      <xdr:rowOff>1</xdr:rowOff>
    </xdr:to>
    <xdr:sp macro="" textlink="">
      <xdr:nvSpPr>
        <xdr:cNvPr id="2" name="Rectangle: Rounded Corners 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13BEE9D-1DF4-42E8-8087-78C2FC58FE54}"/>
            </a:ext>
          </a:extLst>
        </xdr:cNvPr>
        <xdr:cNvSpPr/>
      </xdr:nvSpPr>
      <xdr:spPr>
        <a:xfrm>
          <a:off x="6848475" y="238126"/>
          <a:ext cx="2047875" cy="514350"/>
        </a:xfrm>
        <a:prstGeom prst="roundRect">
          <a:avLst/>
        </a:prstGeom>
        <a:solidFill>
          <a:srgbClr val="00B05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/>
            <a:t>League</a:t>
          </a:r>
          <a:r>
            <a:rPr lang="en-GB" sz="2400" baseline="0"/>
            <a:t> Page</a:t>
          </a:r>
          <a:endParaRPr lang="en-GB" sz="3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47625</xdr:rowOff>
    </xdr:from>
    <xdr:to>
      <xdr:col>0</xdr:col>
      <xdr:colOff>914400</xdr:colOff>
      <xdr:row>4</xdr:row>
      <xdr:rowOff>180975</xdr:rowOff>
    </xdr:to>
    <xdr:pic>
      <xdr:nvPicPr>
        <xdr:cNvPr id="2" name="Graphic 1" descr="Crown with solid fill">
          <a:extLst>
            <a:ext uri="{FF2B5EF4-FFF2-40B4-BE49-F238E27FC236}">
              <a16:creationId xmlns:a16="http://schemas.microsoft.com/office/drawing/2014/main" id="{3C350DBB-6355-47FC-B2B9-8128115B7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9906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171450</xdr:rowOff>
    </xdr:from>
    <xdr:to>
      <xdr:col>1</xdr:col>
      <xdr:colOff>609600</xdr:colOff>
      <xdr:row>4</xdr:row>
      <xdr:rowOff>0</xdr:rowOff>
    </xdr:to>
    <xdr:pic>
      <xdr:nvPicPr>
        <xdr:cNvPr id="3" name="Graphic 2" descr="Gambling Chips with solid fill">
          <a:extLst>
            <a:ext uri="{FF2B5EF4-FFF2-40B4-BE49-F238E27FC236}">
              <a16:creationId xmlns:a16="http://schemas.microsoft.com/office/drawing/2014/main" id="{4C877DC2-2CD2-4DB9-8D87-1E59EB33B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866900" y="1114425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166686</xdr:colOff>
      <xdr:row>2</xdr:row>
      <xdr:rowOff>1</xdr:rowOff>
    </xdr:from>
    <xdr:to>
      <xdr:col>12</xdr:col>
      <xdr:colOff>600075</xdr:colOff>
      <xdr:row>19</xdr:row>
      <xdr:rowOff>14287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EF893C-FD41-4425-A277-9EFC4F89DC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190500</xdr:colOff>
      <xdr:row>0</xdr:row>
      <xdr:rowOff>209550</xdr:rowOff>
    </xdr:from>
    <xdr:to>
      <xdr:col>6</xdr:col>
      <xdr:colOff>542925</xdr:colOff>
      <xdr:row>0</xdr:row>
      <xdr:rowOff>723900</xdr:rowOff>
    </xdr:to>
    <xdr:sp macro="" textlink="">
      <xdr:nvSpPr>
        <xdr:cNvPr id="10" name="Rectangle: Rounded Corners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4C1FACF-FC65-4532-8293-DE93DC203494}"/>
            </a:ext>
          </a:extLst>
        </xdr:cNvPr>
        <xdr:cNvSpPr/>
      </xdr:nvSpPr>
      <xdr:spPr>
        <a:xfrm>
          <a:off x="4600575" y="209550"/>
          <a:ext cx="2047875" cy="514350"/>
        </a:xfrm>
        <a:prstGeom prst="round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/>
            <a:t>Home Page</a:t>
          </a:r>
          <a:endParaRPr lang="en-GB" sz="3200"/>
        </a:p>
      </xdr:txBody>
    </xdr:sp>
    <xdr:clientData/>
  </xdr:twoCellAnchor>
  <xdr:twoCellAnchor>
    <xdr:from>
      <xdr:col>6</xdr:col>
      <xdr:colOff>733425</xdr:colOff>
      <xdr:row>0</xdr:row>
      <xdr:rowOff>209550</xdr:rowOff>
    </xdr:from>
    <xdr:to>
      <xdr:col>9</xdr:col>
      <xdr:colOff>238125</xdr:colOff>
      <xdr:row>0</xdr:row>
      <xdr:rowOff>723900</xdr:rowOff>
    </xdr:to>
    <xdr:sp macro="" textlink="">
      <xdr:nvSpPr>
        <xdr:cNvPr id="11" name="Rectangle: Rounded Corner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E8E053A-087D-4FFA-954F-E7E913CF3112}"/>
            </a:ext>
          </a:extLst>
        </xdr:cNvPr>
        <xdr:cNvSpPr/>
      </xdr:nvSpPr>
      <xdr:spPr>
        <a:xfrm>
          <a:off x="6838950" y="209550"/>
          <a:ext cx="2047875" cy="514350"/>
        </a:xfrm>
        <a:prstGeom prst="roundRect">
          <a:avLst/>
        </a:prstGeom>
        <a:solidFill>
          <a:srgbClr val="00B05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/>
            <a:t>League</a:t>
          </a:r>
          <a:r>
            <a:rPr lang="en-GB" sz="2400" baseline="0"/>
            <a:t> Page</a:t>
          </a:r>
          <a:endParaRPr lang="en-GB" sz="32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47625</xdr:rowOff>
    </xdr:from>
    <xdr:to>
      <xdr:col>0</xdr:col>
      <xdr:colOff>914400</xdr:colOff>
      <xdr:row>4</xdr:row>
      <xdr:rowOff>180975</xdr:rowOff>
    </xdr:to>
    <xdr:pic>
      <xdr:nvPicPr>
        <xdr:cNvPr id="2" name="Graphic 1" descr="Crown with solid fill">
          <a:extLst>
            <a:ext uri="{FF2B5EF4-FFF2-40B4-BE49-F238E27FC236}">
              <a16:creationId xmlns:a16="http://schemas.microsoft.com/office/drawing/2014/main" id="{6022E00B-342B-4F34-8260-9874B0F56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9906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171450</xdr:rowOff>
    </xdr:from>
    <xdr:to>
      <xdr:col>1</xdr:col>
      <xdr:colOff>609600</xdr:colOff>
      <xdr:row>4</xdr:row>
      <xdr:rowOff>0</xdr:rowOff>
    </xdr:to>
    <xdr:pic>
      <xdr:nvPicPr>
        <xdr:cNvPr id="3" name="Graphic 2" descr="Gambling Chips with solid fill">
          <a:extLst>
            <a:ext uri="{FF2B5EF4-FFF2-40B4-BE49-F238E27FC236}">
              <a16:creationId xmlns:a16="http://schemas.microsoft.com/office/drawing/2014/main" id="{98EED9E0-44DC-43BC-8C19-E58607B02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866900" y="1114425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166686</xdr:colOff>
      <xdr:row>2</xdr:row>
      <xdr:rowOff>1</xdr:rowOff>
    </xdr:from>
    <xdr:to>
      <xdr:col>12</xdr:col>
      <xdr:colOff>600075</xdr:colOff>
      <xdr:row>19</xdr:row>
      <xdr:rowOff>14287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9A5171-1489-40DB-9435-A90873186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209550</xdr:colOff>
      <xdr:row>0</xdr:row>
      <xdr:rowOff>228600</xdr:rowOff>
    </xdr:from>
    <xdr:to>
      <xdr:col>6</xdr:col>
      <xdr:colOff>561975</xdr:colOff>
      <xdr:row>0</xdr:row>
      <xdr:rowOff>742950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3611715-F77D-4D93-95C8-B7AA6A7CC326}"/>
            </a:ext>
          </a:extLst>
        </xdr:cNvPr>
        <xdr:cNvSpPr/>
      </xdr:nvSpPr>
      <xdr:spPr>
        <a:xfrm>
          <a:off x="4619625" y="228600"/>
          <a:ext cx="2047875" cy="514350"/>
        </a:xfrm>
        <a:prstGeom prst="round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/>
            <a:t>Home Page</a:t>
          </a:r>
          <a:endParaRPr lang="en-GB" sz="3200"/>
        </a:p>
      </xdr:txBody>
    </xdr:sp>
    <xdr:clientData/>
  </xdr:twoCellAnchor>
  <xdr:twoCellAnchor>
    <xdr:from>
      <xdr:col>6</xdr:col>
      <xdr:colOff>752475</xdr:colOff>
      <xdr:row>0</xdr:row>
      <xdr:rowOff>228600</xdr:rowOff>
    </xdr:from>
    <xdr:to>
      <xdr:col>9</xdr:col>
      <xdr:colOff>257175</xdr:colOff>
      <xdr:row>0</xdr:row>
      <xdr:rowOff>742950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E2F9D7A-B991-4241-A80F-CA07B4C4285D}"/>
            </a:ext>
          </a:extLst>
        </xdr:cNvPr>
        <xdr:cNvSpPr/>
      </xdr:nvSpPr>
      <xdr:spPr>
        <a:xfrm>
          <a:off x="6858000" y="228600"/>
          <a:ext cx="2047875" cy="514350"/>
        </a:xfrm>
        <a:prstGeom prst="roundRect">
          <a:avLst/>
        </a:prstGeom>
        <a:solidFill>
          <a:srgbClr val="00B05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/>
            <a:t>League</a:t>
          </a:r>
          <a:r>
            <a:rPr lang="en-GB" sz="2400" baseline="0"/>
            <a:t> Page</a:t>
          </a:r>
          <a:endParaRPr lang="en-GB" sz="32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47625</xdr:rowOff>
    </xdr:from>
    <xdr:to>
      <xdr:col>0</xdr:col>
      <xdr:colOff>914400</xdr:colOff>
      <xdr:row>4</xdr:row>
      <xdr:rowOff>180975</xdr:rowOff>
    </xdr:to>
    <xdr:pic>
      <xdr:nvPicPr>
        <xdr:cNvPr id="2" name="Graphic 1" descr="Crown with solid fill">
          <a:extLst>
            <a:ext uri="{FF2B5EF4-FFF2-40B4-BE49-F238E27FC236}">
              <a16:creationId xmlns:a16="http://schemas.microsoft.com/office/drawing/2014/main" id="{BB74B757-41E9-4CBA-88A5-7FE8D7399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9906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171450</xdr:rowOff>
    </xdr:from>
    <xdr:to>
      <xdr:col>1</xdr:col>
      <xdr:colOff>609600</xdr:colOff>
      <xdr:row>4</xdr:row>
      <xdr:rowOff>0</xdr:rowOff>
    </xdr:to>
    <xdr:pic>
      <xdr:nvPicPr>
        <xdr:cNvPr id="3" name="Graphic 2" descr="Gambling Chips with solid fill">
          <a:extLst>
            <a:ext uri="{FF2B5EF4-FFF2-40B4-BE49-F238E27FC236}">
              <a16:creationId xmlns:a16="http://schemas.microsoft.com/office/drawing/2014/main" id="{F4BD6317-AB1C-49E2-97D0-DE8CFF019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866900" y="1114425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166686</xdr:colOff>
      <xdr:row>2</xdr:row>
      <xdr:rowOff>1</xdr:rowOff>
    </xdr:from>
    <xdr:to>
      <xdr:col>12</xdr:col>
      <xdr:colOff>600075</xdr:colOff>
      <xdr:row>19</xdr:row>
      <xdr:rowOff>14287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CF077B-153B-45B5-9EAD-D4D8C5B5FF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228600</xdr:colOff>
      <xdr:row>0</xdr:row>
      <xdr:rowOff>219075</xdr:rowOff>
    </xdr:from>
    <xdr:to>
      <xdr:col>6</xdr:col>
      <xdr:colOff>581025</xdr:colOff>
      <xdr:row>0</xdr:row>
      <xdr:rowOff>733425</xdr:rowOff>
    </xdr:to>
    <xdr:sp macro="" textlink="">
      <xdr:nvSpPr>
        <xdr:cNvPr id="6" name="Rectangle: Rounded Corners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841975F-8E07-4217-A468-4696184DFA18}"/>
            </a:ext>
          </a:extLst>
        </xdr:cNvPr>
        <xdr:cNvSpPr/>
      </xdr:nvSpPr>
      <xdr:spPr>
        <a:xfrm>
          <a:off x="4638675" y="219075"/>
          <a:ext cx="2047875" cy="514350"/>
        </a:xfrm>
        <a:prstGeom prst="round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/>
            <a:t>Home Page</a:t>
          </a:r>
          <a:endParaRPr lang="en-GB" sz="3200"/>
        </a:p>
      </xdr:txBody>
    </xdr:sp>
    <xdr:clientData/>
  </xdr:twoCellAnchor>
  <xdr:twoCellAnchor>
    <xdr:from>
      <xdr:col>6</xdr:col>
      <xdr:colOff>771525</xdr:colOff>
      <xdr:row>0</xdr:row>
      <xdr:rowOff>219075</xdr:rowOff>
    </xdr:from>
    <xdr:to>
      <xdr:col>9</xdr:col>
      <xdr:colOff>276225</xdr:colOff>
      <xdr:row>0</xdr:row>
      <xdr:rowOff>733425</xdr:rowOff>
    </xdr:to>
    <xdr:sp macro="" textlink="">
      <xdr:nvSpPr>
        <xdr:cNvPr id="7" name="Rectangle: Rounded Corners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C608AF0-074F-48DE-82B2-E4F081EC274A}"/>
            </a:ext>
          </a:extLst>
        </xdr:cNvPr>
        <xdr:cNvSpPr/>
      </xdr:nvSpPr>
      <xdr:spPr>
        <a:xfrm>
          <a:off x="6877050" y="219075"/>
          <a:ext cx="2047875" cy="514350"/>
        </a:xfrm>
        <a:prstGeom prst="roundRect">
          <a:avLst/>
        </a:prstGeom>
        <a:solidFill>
          <a:srgbClr val="00B05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/>
            <a:t>League</a:t>
          </a:r>
          <a:r>
            <a:rPr lang="en-GB" sz="2400" baseline="0"/>
            <a:t> Page</a:t>
          </a:r>
          <a:endParaRPr lang="en-GB" sz="32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47625</xdr:rowOff>
    </xdr:from>
    <xdr:to>
      <xdr:col>0</xdr:col>
      <xdr:colOff>914400</xdr:colOff>
      <xdr:row>4</xdr:row>
      <xdr:rowOff>180975</xdr:rowOff>
    </xdr:to>
    <xdr:pic>
      <xdr:nvPicPr>
        <xdr:cNvPr id="2" name="Graphic 1" descr="Crown with solid fill">
          <a:extLst>
            <a:ext uri="{FF2B5EF4-FFF2-40B4-BE49-F238E27FC236}">
              <a16:creationId xmlns:a16="http://schemas.microsoft.com/office/drawing/2014/main" id="{CFED43DC-7A50-4B0D-B520-8A61C03F3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9906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171450</xdr:rowOff>
    </xdr:from>
    <xdr:to>
      <xdr:col>1</xdr:col>
      <xdr:colOff>609600</xdr:colOff>
      <xdr:row>4</xdr:row>
      <xdr:rowOff>0</xdr:rowOff>
    </xdr:to>
    <xdr:pic>
      <xdr:nvPicPr>
        <xdr:cNvPr id="3" name="Graphic 2" descr="Gambling Chips with solid fill">
          <a:extLst>
            <a:ext uri="{FF2B5EF4-FFF2-40B4-BE49-F238E27FC236}">
              <a16:creationId xmlns:a16="http://schemas.microsoft.com/office/drawing/2014/main" id="{78F65EDF-CEA3-4B4E-A488-7C1F6D81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866900" y="1114425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166686</xdr:colOff>
      <xdr:row>2</xdr:row>
      <xdr:rowOff>1</xdr:rowOff>
    </xdr:from>
    <xdr:to>
      <xdr:col>12</xdr:col>
      <xdr:colOff>600075</xdr:colOff>
      <xdr:row>19</xdr:row>
      <xdr:rowOff>14287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FE8AAA-CC12-46A6-BB8C-667D0DB476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219075</xdr:colOff>
      <xdr:row>0</xdr:row>
      <xdr:rowOff>161925</xdr:rowOff>
    </xdr:from>
    <xdr:to>
      <xdr:col>6</xdr:col>
      <xdr:colOff>571500</xdr:colOff>
      <xdr:row>0</xdr:row>
      <xdr:rowOff>676275</xdr:rowOff>
    </xdr:to>
    <xdr:sp macro="" textlink="">
      <xdr:nvSpPr>
        <xdr:cNvPr id="6" name="Rectangle: Rounded Corners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F3BEA49-ED76-4A63-90CA-7B357BD99041}"/>
            </a:ext>
          </a:extLst>
        </xdr:cNvPr>
        <xdr:cNvSpPr/>
      </xdr:nvSpPr>
      <xdr:spPr>
        <a:xfrm>
          <a:off x="4629150" y="161925"/>
          <a:ext cx="2047875" cy="514350"/>
        </a:xfrm>
        <a:prstGeom prst="round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/>
            <a:t>Home Page</a:t>
          </a:r>
          <a:endParaRPr lang="en-GB" sz="3200"/>
        </a:p>
      </xdr:txBody>
    </xdr:sp>
    <xdr:clientData/>
  </xdr:twoCellAnchor>
  <xdr:twoCellAnchor>
    <xdr:from>
      <xdr:col>6</xdr:col>
      <xdr:colOff>762000</xdr:colOff>
      <xdr:row>0</xdr:row>
      <xdr:rowOff>161925</xdr:rowOff>
    </xdr:from>
    <xdr:to>
      <xdr:col>9</xdr:col>
      <xdr:colOff>266700</xdr:colOff>
      <xdr:row>0</xdr:row>
      <xdr:rowOff>676275</xdr:rowOff>
    </xdr:to>
    <xdr:sp macro="" textlink="">
      <xdr:nvSpPr>
        <xdr:cNvPr id="7" name="Rectangle: Rounded Corners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E20CB1C-9721-4FD1-8CFE-7ACDC23C62C9}"/>
            </a:ext>
          </a:extLst>
        </xdr:cNvPr>
        <xdr:cNvSpPr/>
      </xdr:nvSpPr>
      <xdr:spPr>
        <a:xfrm>
          <a:off x="6867525" y="161925"/>
          <a:ext cx="2047875" cy="514350"/>
        </a:xfrm>
        <a:prstGeom prst="roundRect">
          <a:avLst/>
        </a:prstGeom>
        <a:solidFill>
          <a:srgbClr val="00B05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/>
            <a:t>League</a:t>
          </a:r>
          <a:r>
            <a:rPr lang="en-GB" sz="2400" baseline="0"/>
            <a:t> Page</a:t>
          </a:r>
          <a:endParaRPr lang="en-GB" sz="32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47625</xdr:rowOff>
    </xdr:from>
    <xdr:to>
      <xdr:col>0</xdr:col>
      <xdr:colOff>914400</xdr:colOff>
      <xdr:row>4</xdr:row>
      <xdr:rowOff>180975</xdr:rowOff>
    </xdr:to>
    <xdr:pic>
      <xdr:nvPicPr>
        <xdr:cNvPr id="2" name="Graphic 1" descr="Crown with solid fill">
          <a:extLst>
            <a:ext uri="{FF2B5EF4-FFF2-40B4-BE49-F238E27FC236}">
              <a16:creationId xmlns:a16="http://schemas.microsoft.com/office/drawing/2014/main" id="{0259A950-0AC3-4A5E-87B6-1A95995E0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9906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171450</xdr:rowOff>
    </xdr:from>
    <xdr:to>
      <xdr:col>1</xdr:col>
      <xdr:colOff>609600</xdr:colOff>
      <xdr:row>4</xdr:row>
      <xdr:rowOff>0</xdr:rowOff>
    </xdr:to>
    <xdr:pic>
      <xdr:nvPicPr>
        <xdr:cNvPr id="3" name="Graphic 2" descr="Gambling Chips with solid fill">
          <a:extLst>
            <a:ext uri="{FF2B5EF4-FFF2-40B4-BE49-F238E27FC236}">
              <a16:creationId xmlns:a16="http://schemas.microsoft.com/office/drawing/2014/main" id="{A6FDA21E-BA5F-49A7-9C2E-5C57AE128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866900" y="1114425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166686</xdr:colOff>
      <xdr:row>2</xdr:row>
      <xdr:rowOff>1</xdr:rowOff>
    </xdr:from>
    <xdr:to>
      <xdr:col>12</xdr:col>
      <xdr:colOff>600075</xdr:colOff>
      <xdr:row>19</xdr:row>
      <xdr:rowOff>14287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6C12F6-4552-4CF1-8214-43FC478077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200025</xdr:colOff>
      <xdr:row>0</xdr:row>
      <xdr:rowOff>190500</xdr:rowOff>
    </xdr:from>
    <xdr:to>
      <xdr:col>6</xdr:col>
      <xdr:colOff>552450</xdr:colOff>
      <xdr:row>0</xdr:row>
      <xdr:rowOff>704850</xdr:rowOff>
    </xdr:to>
    <xdr:sp macro="" textlink="">
      <xdr:nvSpPr>
        <xdr:cNvPr id="6" name="Rectangle: Rounded Corners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94AA744-6680-41EC-A9EC-8F6CBFB28D11}"/>
            </a:ext>
          </a:extLst>
        </xdr:cNvPr>
        <xdr:cNvSpPr/>
      </xdr:nvSpPr>
      <xdr:spPr>
        <a:xfrm>
          <a:off x="4610100" y="190500"/>
          <a:ext cx="2047875" cy="514350"/>
        </a:xfrm>
        <a:prstGeom prst="round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/>
            <a:t>Home Page</a:t>
          </a:r>
          <a:endParaRPr lang="en-GB" sz="3200"/>
        </a:p>
      </xdr:txBody>
    </xdr:sp>
    <xdr:clientData/>
  </xdr:twoCellAnchor>
  <xdr:twoCellAnchor>
    <xdr:from>
      <xdr:col>6</xdr:col>
      <xdr:colOff>742950</xdr:colOff>
      <xdr:row>0</xdr:row>
      <xdr:rowOff>190500</xdr:rowOff>
    </xdr:from>
    <xdr:to>
      <xdr:col>9</xdr:col>
      <xdr:colOff>247650</xdr:colOff>
      <xdr:row>0</xdr:row>
      <xdr:rowOff>704850</xdr:rowOff>
    </xdr:to>
    <xdr:sp macro="" textlink="">
      <xdr:nvSpPr>
        <xdr:cNvPr id="7" name="Rectangle: Rounded Corners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8A9E66D-7535-455C-90B5-24D8D8A445E5}"/>
            </a:ext>
          </a:extLst>
        </xdr:cNvPr>
        <xdr:cNvSpPr/>
      </xdr:nvSpPr>
      <xdr:spPr>
        <a:xfrm>
          <a:off x="6848475" y="190500"/>
          <a:ext cx="2047875" cy="514350"/>
        </a:xfrm>
        <a:prstGeom prst="roundRect">
          <a:avLst/>
        </a:prstGeom>
        <a:solidFill>
          <a:srgbClr val="00B05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/>
            <a:t>League</a:t>
          </a:r>
          <a:r>
            <a:rPr lang="en-GB" sz="2400" baseline="0"/>
            <a:t> Page</a:t>
          </a:r>
          <a:endParaRPr lang="en-GB" sz="32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47625</xdr:rowOff>
    </xdr:from>
    <xdr:to>
      <xdr:col>0</xdr:col>
      <xdr:colOff>914400</xdr:colOff>
      <xdr:row>4</xdr:row>
      <xdr:rowOff>180975</xdr:rowOff>
    </xdr:to>
    <xdr:pic>
      <xdr:nvPicPr>
        <xdr:cNvPr id="2" name="Graphic 1" descr="Crown with solid fill">
          <a:extLst>
            <a:ext uri="{FF2B5EF4-FFF2-40B4-BE49-F238E27FC236}">
              <a16:creationId xmlns:a16="http://schemas.microsoft.com/office/drawing/2014/main" id="{A1C82175-4DE0-46B7-B485-B360FA90B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9906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171450</xdr:rowOff>
    </xdr:from>
    <xdr:to>
      <xdr:col>1</xdr:col>
      <xdr:colOff>609600</xdr:colOff>
      <xdr:row>4</xdr:row>
      <xdr:rowOff>0</xdr:rowOff>
    </xdr:to>
    <xdr:pic>
      <xdr:nvPicPr>
        <xdr:cNvPr id="3" name="Graphic 2" descr="Gambling Chips with solid fill">
          <a:extLst>
            <a:ext uri="{FF2B5EF4-FFF2-40B4-BE49-F238E27FC236}">
              <a16:creationId xmlns:a16="http://schemas.microsoft.com/office/drawing/2014/main" id="{0C05D3B0-8274-4710-9D66-489A75C57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866900" y="1114425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166686</xdr:colOff>
      <xdr:row>2</xdr:row>
      <xdr:rowOff>1</xdr:rowOff>
    </xdr:from>
    <xdr:to>
      <xdr:col>12</xdr:col>
      <xdr:colOff>600075</xdr:colOff>
      <xdr:row>19</xdr:row>
      <xdr:rowOff>14287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F539E3-6138-4C5F-A086-BE7A9ABE6D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209550</xdr:colOff>
      <xdr:row>0</xdr:row>
      <xdr:rowOff>180975</xdr:rowOff>
    </xdr:from>
    <xdr:to>
      <xdr:col>6</xdr:col>
      <xdr:colOff>561975</xdr:colOff>
      <xdr:row>0</xdr:row>
      <xdr:rowOff>695325</xdr:rowOff>
    </xdr:to>
    <xdr:sp macro="" textlink="">
      <xdr:nvSpPr>
        <xdr:cNvPr id="6" name="Rectangle: Rounded Corners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44E36C3-0EE5-4C1E-9FE3-CABD409BAAF3}"/>
            </a:ext>
          </a:extLst>
        </xdr:cNvPr>
        <xdr:cNvSpPr/>
      </xdr:nvSpPr>
      <xdr:spPr>
        <a:xfrm>
          <a:off x="4619625" y="180975"/>
          <a:ext cx="2047875" cy="514350"/>
        </a:xfrm>
        <a:prstGeom prst="round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/>
            <a:t>Home Page</a:t>
          </a:r>
          <a:endParaRPr lang="en-GB" sz="3200"/>
        </a:p>
      </xdr:txBody>
    </xdr:sp>
    <xdr:clientData/>
  </xdr:twoCellAnchor>
  <xdr:twoCellAnchor>
    <xdr:from>
      <xdr:col>6</xdr:col>
      <xdr:colOff>752475</xdr:colOff>
      <xdr:row>0</xdr:row>
      <xdr:rowOff>180975</xdr:rowOff>
    </xdr:from>
    <xdr:to>
      <xdr:col>9</xdr:col>
      <xdr:colOff>257175</xdr:colOff>
      <xdr:row>0</xdr:row>
      <xdr:rowOff>695325</xdr:rowOff>
    </xdr:to>
    <xdr:sp macro="" textlink="">
      <xdr:nvSpPr>
        <xdr:cNvPr id="7" name="Rectangle: Rounded Corners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3B8C398-3A6F-46D8-B592-94EDF462D267}"/>
            </a:ext>
          </a:extLst>
        </xdr:cNvPr>
        <xdr:cNvSpPr/>
      </xdr:nvSpPr>
      <xdr:spPr>
        <a:xfrm>
          <a:off x="6858000" y="180975"/>
          <a:ext cx="2047875" cy="514350"/>
        </a:xfrm>
        <a:prstGeom prst="roundRect">
          <a:avLst/>
        </a:prstGeom>
        <a:solidFill>
          <a:srgbClr val="00B05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/>
            <a:t>League</a:t>
          </a:r>
          <a:r>
            <a:rPr lang="en-GB" sz="2400" baseline="0"/>
            <a:t> Page</a:t>
          </a:r>
          <a:endParaRPr lang="en-GB" sz="32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47625</xdr:rowOff>
    </xdr:from>
    <xdr:to>
      <xdr:col>0</xdr:col>
      <xdr:colOff>914400</xdr:colOff>
      <xdr:row>4</xdr:row>
      <xdr:rowOff>180975</xdr:rowOff>
    </xdr:to>
    <xdr:pic>
      <xdr:nvPicPr>
        <xdr:cNvPr id="2" name="Graphic 1" descr="Crown with solid fill">
          <a:extLst>
            <a:ext uri="{FF2B5EF4-FFF2-40B4-BE49-F238E27FC236}">
              <a16:creationId xmlns:a16="http://schemas.microsoft.com/office/drawing/2014/main" id="{090CD0DB-58B5-4676-880C-89D97AC6D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9906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171450</xdr:rowOff>
    </xdr:from>
    <xdr:to>
      <xdr:col>1</xdr:col>
      <xdr:colOff>609600</xdr:colOff>
      <xdr:row>4</xdr:row>
      <xdr:rowOff>0</xdr:rowOff>
    </xdr:to>
    <xdr:pic>
      <xdr:nvPicPr>
        <xdr:cNvPr id="3" name="Graphic 2" descr="Gambling Chips with solid fill">
          <a:extLst>
            <a:ext uri="{FF2B5EF4-FFF2-40B4-BE49-F238E27FC236}">
              <a16:creationId xmlns:a16="http://schemas.microsoft.com/office/drawing/2014/main" id="{801FE1FC-FF62-4E41-AFA9-A9B295264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866900" y="1114425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166686</xdr:colOff>
      <xdr:row>2</xdr:row>
      <xdr:rowOff>1</xdr:rowOff>
    </xdr:from>
    <xdr:to>
      <xdr:col>12</xdr:col>
      <xdr:colOff>600075</xdr:colOff>
      <xdr:row>19</xdr:row>
      <xdr:rowOff>14287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96A23F-5054-43E6-9467-DBE584D19D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209550</xdr:colOff>
      <xdr:row>0</xdr:row>
      <xdr:rowOff>190500</xdr:rowOff>
    </xdr:from>
    <xdr:to>
      <xdr:col>6</xdr:col>
      <xdr:colOff>561975</xdr:colOff>
      <xdr:row>0</xdr:row>
      <xdr:rowOff>704850</xdr:rowOff>
    </xdr:to>
    <xdr:sp macro="" textlink="">
      <xdr:nvSpPr>
        <xdr:cNvPr id="6" name="Rectangle: Rounded Corners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812FB68-DB5E-4E72-9989-468AB9DFF956}"/>
            </a:ext>
          </a:extLst>
        </xdr:cNvPr>
        <xdr:cNvSpPr/>
      </xdr:nvSpPr>
      <xdr:spPr>
        <a:xfrm>
          <a:off x="4619625" y="190500"/>
          <a:ext cx="2047875" cy="514350"/>
        </a:xfrm>
        <a:prstGeom prst="round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/>
            <a:t>Home Page</a:t>
          </a:r>
          <a:endParaRPr lang="en-GB" sz="3200"/>
        </a:p>
      </xdr:txBody>
    </xdr:sp>
    <xdr:clientData/>
  </xdr:twoCellAnchor>
  <xdr:twoCellAnchor>
    <xdr:from>
      <xdr:col>6</xdr:col>
      <xdr:colOff>752475</xdr:colOff>
      <xdr:row>0</xdr:row>
      <xdr:rowOff>190500</xdr:rowOff>
    </xdr:from>
    <xdr:to>
      <xdr:col>9</xdr:col>
      <xdr:colOff>257175</xdr:colOff>
      <xdr:row>0</xdr:row>
      <xdr:rowOff>704850</xdr:rowOff>
    </xdr:to>
    <xdr:sp macro="" textlink="">
      <xdr:nvSpPr>
        <xdr:cNvPr id="7" name="Rectangle: Rounded Corners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7D96B8A-2EEE-4601-B396-C170089A9B8D}"/>
            </a:ext>
          </a:extLst>
        </xdr:cNvPr>
        <xdr:cNvSpPr/>
      </xdr:nvSpPr>
      <xdr:spPr>
        <a:xfrm>
          <a:off x="6858000" y="190500"/>
          <a:ext cx="2047875" cy="514350"/>
        </a:xfrm>
        <a:prstGeom prst="roundRect">
          <a:avLst/>
        </a:prstGeom>
        <a:solidFill>
          <a:srgbClr val="00B05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/>
            <a:t>League</a:t>
          </a:r>
          <a:r>
            <a:rPr lang="en-GB" sz="2400" baseline="0"/>
            <a:t> Page</a:t>
          </a:r>
          <a:endParaRPr lang="en-GB" sz="32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47625</xdr:rowOff>
    </xdr:from>
    <xdr:to>
      <xdr:col>0</xdr:col>
      <xdr:colOff>914400</xdr:colOff>
      <xdr:row>4</xdr:row>
      <xdr:rowOff>180975</xdr:rowOff>
    </xdr:to>
    <xdr:pic>
      <xdr:nvPicPr>
        <xdr:cNvPr id="2" name="Graphic 1" descr="Crown with solid fill">
          <a:extLst>
            <a:ext uri="{FF2B5EF4-FFF2-40B4-BE49-F238E27FC236}">
              <a16:creationId xmlns:a16="http://schemas.microsoft.com/office/drawing/2014/main" id="{2367E8A0-F507-4343-BC31-37E464501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9906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171450</xdr:rowOff>
    </xdr:from>
    <xdr:to>
      <xdr:col>1</xdr:col>
      <xdr:colOff>609600</xdr:colOff>
      <xdr:row>4</xdr:row>
      <xdr:rowOff>0</xdr:rowOff>
    </xdr:to>
    <xdr:pic>
      <xdr:nvPicPr>
        <xdr:cNvPr id="3" name="Graphic 2" descr="Gambling Chips with solid fill">
          <a:extLst>
            <a:ext uri="{FF2B5EF4-FFF2-40B4-BE49-F238E27FC236}">
              <a16:creationId xmlns:a16="http://schemas.microsoft.com/office/drawing/2014/main" id="{293728F6-12DC-452C-A4F1-10B182301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866900" y="1114425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166686</xdr:colOff>
      <xdr:row>2</xdr:row>
      <xdr:rowOff>1</xdr:rowOff>
    </xdr:from>
    <xdr:to>
      <xdr:col>12</xdr:col>
      <xdr:colOff>600075</xdr:colOff>
      <xdr:row>19</xdr:row>
      <xdr:rowOff>14287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9FC397-8924-451A-B077-47833D5B44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219075</xdr:colOff>
      <xdr:row>0</xdr:row>
      <xdr:rowOff>228600</xdr:rowOff>
    </xdr:from>
    <xdr:to>
      <xdr:col>6</xdr:col>
      <xdr:colOff>571500</xdr:colOff>
      <xdr:row>0</xdr:row>
      <xdr:rowOff>742950</xdr:rowOff>
    </xdr:to>
    <xdr:sp macro="" textlink="">
      <xdr:nvSpPr>
        <xdr:cNvPr id="6" name="Rectangle: Rounded Corners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F2F682F-8784-4BB1-B6AA-764201752DE3}"/>
            </a:ext>
          </a:extLst>
        </xdr:cNvPr>
        <xdr:cNvSpPr/>
      </xdr:nvSpPr>
      <xdr:spPr>
        <a:xfrm>
          <a:off x="4629150" y="228600"/>
          <a:ext cx="2047875" cy="514350"/>
        </a:xfrm>
        <a:prstGeom prst="round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/>
            <a:t>Home Page</a:t>
          </a:r>
          <a:endParaRPr lang="en-GB" sz="3200"/>
        </a:p>
      </xdr:txBody>
    </xdr:sp>
    <xdr:clientData/>
  </xdr:twoCellAnchor>
  <xdr:twoCellAnchor>
    <xdr:from>
      <xdr:col>6</xdr:col>
      <xdr:colOff>762000</xdr:colOff>
      <xdr:row>0</xdr:row>
      <xdr:rowOff>228600</xdr:rowOff>
    </xdr:from>
    <xdr:to>
      <xdr:col>9</xdr:col>
      <xdr:colOff>266700</xdr:colOff>
      <xdr:row>0</xdr:row>
      <xdr:rowOff>742950</xdr:rowOff>
    </xdr:to>
    <xdr:sp macro="" textlink="">
      <xdr:nvSpPr>
        <xdr:cNvPr id="7" name="Rectangle: Rounded Corners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DF6F666-9A5F-4723-8101-CF7CC573E8E6}"/>
            </a:ext>
          </a:extLst>
        </xdr:cNvPr>
        <xdr:cNvSpPr/>
      </xdr:nvSpPr>
      <xdr:spPr>
        <a:xfrm>
          <a:off x="6867525" y="228600"/>
          <a:ext cx="2047875" cy="514350"/>
        </a:xfrm>
        <a:prstGeom prst="roundRect">
          <a:avLst/>
        </a:prstGeom>
        <a:solidFill>
          <a:srgbClr val="00B05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/>
            <a:t>League</a:t>
          </a:r>
          <a:r>
            <a:rPr lang="en-GB" sz="2400" baseline="0"/>
            <a:t> Page</a:t>
          </a:r>
          <a:endParaRPr lang="en-GB" sz="32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47625</xdr:rowOff>
    </xdr:from>
    <xdr:to>
      <xdr:col>0</xdr:col>
      <xdr:colOff>914400</xdr:colOff>
      <xdr:row>4</xdr:row>
      <xdr:rowOff>180975</xdr:rowOff>
    </xdr:to>
    <xdr:pic>
      <xdr:nvPicPr>
        <xdr:cNvPr id="2" name="Graphic 1" descr="Crown with solid fill">
          <a:extLst>
            <a:ext uri="{FF2B5EF4-FFF2-40B4-BE49-F238E27FC236}">
              <a16:creationId xmlns:a16="http://schemas.microsoft.com/office/drawing/2014/main" id="{9060948C-DE48-467F-BFB3-72305D56E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9906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171450</xdr:rowOff>
    </xdr:from>
    <xdr:to>
      <xdr:col>1</xdr:col>
      <xdr:colOff>609600</xdr:colOff>
      <xdr:row>4</xdr:row>
      <xdr:rowOff>0</xdr:rowOff>
    </xdr:to>
    <xdr:pic>
      <xdr:nvPicPr>
        <xdr:cNvPr id="3" name="Graphic 2" descr="Gambling Chips with solid fill">
          <a:extLst>
            <a:ext uri="{FF2B5EF4-FFF2-40B4-BE49-F238E27FC236}">
              <a16:creationId xmlns:a16="http://schemas.microsoft.com/office/drawing/2014/main" id="{4DAEF33D-FF3B-4EC6-843B-0D60A72B6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866900" y="1114425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166686</xdr:colOff>
      <xdr:row>2</xdr:row>
      <xdr:rowOff>1</xdr:rowOff>
    </xdr:from>
    <xdr:to>
      <xdr:col>12</xdr:col>
      <xdr:colOff>600075</xdr:colOff>
      <xdr:row>19</xdr:row>
      <xdr:rowOff>14287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2FEE56-ED8C-4FC8-ACC3-59893D2DC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180975</xdr:colOff>
      <xdr:row>0</xdr:row>
      <xdr:rowOff>209550</xdr:rowOff>
    </xdr:from>
    <xdr:to>
      <xdr:col>6</xdr:col>
      <xdr:colOff>533400</xdr:colOff>
      <xdr:row>0</xdr:row>
      <xdr:rowOff>723900</xdr:rowOff>
    </xdr:to>
    <xdr:sp macro="" textlink="">
      <xdr:nvSpPr>
        <xdr:cNvPr id="6" name="Rectangle: Rounded Corners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A7A64B4-E594-47A6-9F6E-71B65F486F87}"/>
            </a:ext>
          </a:extLst>
        </xdr:cNvPr>
        <xdr:cNvSpPr/>
      </xdr:nvSpPr>
      <xdr:spPr>
        <a:xfrm>
          <a:off x="4591050" y="209550"/>
          <a:ext cx="2047875" cy="514350"/>
        </a:xfrm>
        <a:prstGeom prst="round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/>
            <a:t>Home Page</a:t>
          </a:r>
          <a:endParaRPr lang="en-GB" sz="3200"/>
        </a:p>
      </xdr:txBody>
    </xdr:sp>
    <xdr:clientData/>
  </xdr:twoCellAnchor>
  <xdr:twoCellAnchor>
    <xdr:from>
      <xdr:col>6</xdr:col>
      <xdr:colOff>723900</xdr:colOff>
      <xdr:row>0</xdr:row>
      <xdr:rowOff>209550</xdr:rowOff>
    </xdr:from>
    <xdr:to>
      <xdr:col>9</xdr:col>
      <xdr:colOff>228600</xdr:colOff>
      <xdr:row>0</xdr:row>
      <xdr:rowOff>723900</xdr:rowOff>
    </xdr:to>
    <xdr:sp macro="" textlink="">
      <xdr:nvSpPr>
        <xdr:cNvPr id="7" name="Rectangle: Rounded Corners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A7C6A6C-191B-4848-AEC5-131C7A0CAE71}"/>
            </a:ext>
          </a:extLst>
        </xdr:cNvPr>
        <xdr:cNvSpPr/>
      </xdr:nvSpPr>
      <xdr:spPr>
        <a:xfrm>
          <a:off x="6829425" y="209550"/>
          <a:ext cx="2047875" cy="514350"/>
        </a:xfrm>
        <a:prstGeom prst="roundRect">
          <a:avLst/>
        </a:prstGeom>
        <a:solidFill>
          <a:srgbClr val="00B05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/>
            <a:t>League</a:t>
          </a:r>
          <a:r>
            <a:rPr lang="en-GB" sz="2400" baseline="0"/>
            <a:t> Page</a:t>
          </a:r>
          <a:endParaRPr lang="en-GB" sz="32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47625</xdr:rowOff>
    </xdr:from>
    <xdr:to>
      <xdr:col>0</xdr:col>
      <xdr:colOff>914400</xdr:colOff>
      <xdr:row>4</xdr:row>
      <xdr:rowOff>180975</xdr:rowOff>
    </xdr:to>
    <xdr:pic>
      <xdr:nvPicPr>
        <xdr:cNvPr id="2" name="Graphic 1" descr="Crown with solid fill">
          <a:extLst>
            <a:ext uri="{FF2B5EF4-FFF2-40B4-BE49-F238E27FC236}">
              <a16:creationId xmlns:a16="http://schemas.microsoft.com/office/drawing/2014/main" id="{18916C18-A0ED-46C7-B127-231F9CED6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9906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171450</xdr:rowOff>
    </xdr:from>
    <xdr:to>
      <xdr:col>1</xdr:col>
      <xdr:colOff>609600</xdr:colOff>
      <xdr:row>4</xdr:row>
      <xdr:rowOff>0</xdr:rowOff>
    </xdr:to>
    <xdr:pic>
      <xdr:nvPicPr>
        <xdr:cNvPr id="3" name="Graphic 2" descr="Gambling Chips with solid fill">
          <a:extLst>
            <a:ext uri="{FF2B5EF4-FFF2-40B4-BE49-F238E27FC236}">
              <a16:creationId xmlns:a16="http://schemas.microsoft.com/office/drawing/2014/main" id="{2DB998D6-F1A0-4632-B5F2-AB67C9C72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866900" y="1114425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166686</xdr:colOff>
      <xdr:row>2</xdr:row>
      <xdr:rowOff>1</xdr:rowOff>
    </xdr:from>
    <xdr:to>
      <xdr:col>12</xdr:col>
      <xdr:colOff>600075</xdr:colOff>
      <xdr:row>19</xdr:row>
      <xdr:rowOff>14287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51228C-EB75-4A6F-94DA-E6F546282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209550</xdr:colOff>
      <xdr:row>0</xdr:row>
      <xdr:rowOff>161925</xdr:rowOff>
    </xdr:from>
    <xdr:to>
      <xdr:col>6</xdr:col>
      <xdr:colOff>561975</xdr:colOff>
      <xdr:row>0</xdr:row>
      <xdr:rowOff>676275</xdr:rowOff>
    </xdr:to>
    <xdr:sp macro="" textlink="">
      <xdr:nvSpPr>
        <xdr:cNvPr id="6" name="Rectangle: Rounded Corners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6FABF9C-4436-4A39-9FF4-A1C73F403853}"/>
            </a:ext>
          </a:extLst>
        </xdr:cNvPr>
        <xdr:cNvSpPr/>
      </xdr:nvSpPr>
      <xdr:spPr>
        <a:xfrm>
          <a:off x="4619625" y="161925"/>
          <a:ext cx="2047875" cy="514350"/>
        </a:xfrm>
        <a:prstGeom prst="round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/>
            <a:t>Home Page</a:t>
          </a:r>
          <a:endParaRPr lang="en-GB" sz="3200"/>
        </a:p>
      </xdr:txBody>
    </xdr:sp>
    <xdr:clientData/>
  </xdr:twoCellAnchor>
  <xdr:twoCellAnchor>
    <xdr:from>
      <xdr:col>6</xdr:col>
      <xdr:colOff>752475</xdr:colOff>
      <xdr:row>0</xdr:row>
      <xdr:rowOff>161925</xdr:rowOff>
    </xdr:from>
    <xdr:to>
      <xdr:col>9</xdr:col>
      <xdr:colOff>257175</xdr:colOff>
      <xdr:row>0</xdr:row>
      <xdr:rowOff>676275</xdr:rowOff>
    </xdr:to>
    <xdr:sp macro="" textlink="">
      <xdr:nvSpPr>
        <xdr:cNvPr id="7" name="Rectangle: Rounded Corners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5C86E3B-E4B6-40EA-9085-7195CE7D05AD}"/>
            </a:ext>
          </a:extLst>
        </xdr:cNvPr>
        <xdr:cNvSpPr/>
      </xdr:nvSpPr>
      <xdr:spPr>
        <a:xfrm>
          <a:off x="6858000" y="161925"/>
          <a:ext cx="2047875" cy="514350"/>
        </a:xfrm>
        <a:prstGeom prst="roundRect">
          <a:avLst/>
        </a:prstGeom>
        <a:solidFill>
          <a:srgbClr val="00B05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/>
            <a:t>League</a:t>
          </a:r>
          <a:r>
            <a:rPr lang="en-GB" sz="2400" baseline="0"/>
            <a:t> Page</a:t>
          </a:r>
          <a:endParaRPr lang="en-GB" sz="3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FFFF00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5CBA5-B883-4E6D-9325-29B7A67FD2ED}">
  <sheetPr>
    <pageSetUpPr fitToPage="1"/>
  </sheetPr>
  <dimension ref="A1"/>
  <sheetViews>
    <sheetView showGridLines="0" workbookViewId="0">
      <selection activeCell="G28" sqref="G28"/>
    </sheetView>
  </sheetViews>
  <sheetFormatPr defaultRowHeight="15" x14ac:dyDescent="0.25"/>
  <cols>
    <col min="1" max="16384" width="9.140625" style="82"/>
  </cols>
  <sheetData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408B9-FD42-4608-A3F2-FD6B0D2806F2}">
  <sheetPr>
    <pageSetUpPr fitToPage="1"/>
  </sheetPr>
  <dimension ref="A5:AI38"/>
  <sheetViews>
    <sheetView tabSelected="1" workbookViewId="0">
      <pane xSplit="1" topLeftCell="B1" activePane="topRight" state="frozen"/>
      <selection pane="topRight"/>
    </sheetView>
  </sheetViews>
  <sheetFormatPr defaultRowHeight="15" x14ac:dyDescent="0.25"/>
  <cols>
    <col min="1" max="1" width="27.140625" customWidth="1"/>
    <col min="2" max="2" width="6.28515625" bestFit="1" customWidth="1"/>
    <col min="3" max="3" width="9.42578125" bestFit="1" customWidth="1"/>
    <col min="4" max="4" width="6.7109375" bestFit="1" customWidth="1"/>
    <col min="5" max="5" width="6.28515625" bestFit="1" customWidth="1"/>
    <col min="6" max="6" width="9.42578125" bestFit="1" customWidth="1"/>
    <col min="7" max="7" width="6.7109375" bestFit="1" customWidth="1"/>
    <col min="8" max="8" width="6.28515625" bestFit="1" customWidth="1"/>
    <col min="9" max="9" width="9.42578125" bestFit="1" customWidth="1"/>
    <col min="10" max="10" width="6.7109375" bestFit="1" customWidth="1"/>
    <col min="11" max="11" width="6.28515625" bestFit="1" customWidth="1"/>
    <col min="12" max="12" width="9.42578125" bestFit="1" customWidth="1"/>
    <col min="13" max="13" width="6.7109375" bestFit="1" customWidth="1"/>
    <col min="14" max="14" width="6.28515625" bestFit="1" customWidth="1"/>
    <col min="15" max="15" width="9.42578125" bestFit="1" customWidth="1"/>
    <col min="16" max="16" width="6.7109375" bestFit="1" customWidth="1"/>
    <col min="17" max="17" width="6.28515625" bestFit="1" customWidth="1"/>
    <col min="18" max="18" width="9.42578125" bestFit="1" customWidth="1"/>
    <col min="19" max="19" width="6.7109375" bestFit="1" customWidth="1"/>
    <col min="20" max="20" width="6.28515625" bestFit="1" customWidth="1"/>
    <col min="21" max="21" width="9.42578125" bestFit="1" customWidth="1"/>
    <col min="22" max="22" width="6.7109375" bestFit="1" customWidth="1"/>
    <col min="23" max="23" width="9.5703125" bestFit="1" customWidth="1"/>
    <col min="24" max="24" width="9.42578125" bestFit="1" customWidth="1"/>
    <col min="25" max="25" width="6.7109375" bestFit="1" customWidth="1"/>
    <col min="26" max="26" width="10" customWidth="1"/>
    <col min="27" max="27" width="9.42578125" bestFit="1" customWidth="1"/>
    <col min="28" max="28" width="11.140625" customWidth="1"/>
    <col min="29" max="29" width="6.28515625" bestFit="1" customWidth="1"/>
    <col min="30" max="30" width="9.42578125" bestFit="1" customWidth="1"/>
    <col min="31" max="31" width="6.7109375" bestFit="1" customWidth="1"/>
    <col min="32" max="32" width="6.28515625" bestFit="1" customWidth="1"/>
    <col min="33" max="33" width="9.42578125" bestFit="1" customWidth="1"/>
    <col min="34" max="35" width="10.7109375" customWidth="1"/>
  </cols>
  <sheetData>
    <row r="5" spans="1:34" ht="15.75" thickBot="1" x14ac:dyDescent="0.3"/>
    <row r="6" spans="1:34" s="1" customFormat="1" ht="30.75" customHeight="1" thickBot="1" x14ac:dyDescent="0.3">
      <c r="A6" s="63" t="s">
        <v>0</v>
      </c>
      <c r="B6" s="107" t="s">
        <v>1</v>
      </c>
      <c r="C6" s="107"/>
      <c r="D6" s="107" t="s">
        <v>2</v>
      </c>
      <c r="E6" s="107"/>
      <c r="F6" s="107" t="s">
        <v>3</v>
      </c>
      <c r="G6" s="107"/>
      <c r="H6" s="107" t="s">
        <v>4</v>
      </c>
      <c r="I6" s="107"/>
      <c r="J6" s="107" t="s">
        <v>5</v>
      </c>
      <c r="K6" s="107"/>
      <c r="L6" s="107" t="s">
        <v>6</v>
      </c>
      <c r="M6" s="107"/>
      <c r="N6" s="107" t="s">
        <v>7</v>
      </c>
      <c r="O6" s="107"/>
      <c r="P6" s="107" t="s">
        <v>8</v>
      </c>
      <c r="Q6" s="107"/>
      <c r="R6" s="107" t="s">
        <v>9</v>
      </c>
      <c r="S6" s="107"/>
      <c r="T6" s="107" t="s">
        <v>10</v>
      </c>
      <c r="U6" s="113"/>
      <c r="W6" s="94" t="s">
        <v>11</v>
      </c>
      <c r="X6" s="94"/>
      <c r="Z6" s="96" t="s">
        <v>53</v>
      </c>
      <c r="AA6" s="97"/>
      <c r="AB6" s="97"/>
      <c r="AC6" s="97"/>
      <c r="AD6" s="97"/>
      <c r="AE6" s="97"/>
      <c r="AF6" s="97"/>
      <c r="AG6" s="98"/>
    </row>
    <row r="7" spans="1:34" x14ac:dyDescent="0.25">
      <c r="A7" s="64" t="s">
        <v>22</v>
      </c>
      <c r="B7" s="103">
        <v>1</v>
      </c>
      <c r="C7" s="104"/>
      <c r="D7" s="103"/>
      <c r="E7" s="104"/>
      <c r="F7" s="103">
        <f>T7+D27+G27+J27+M27+P27+S27+V27+Y27+AB27+AE27+B7</f>
        <v>6</v>
      </c>
      <c r="G7" s="104"/>
      <c r="H7" s="133"/>
      <c r="I7" s="134"/>
      <c r="J7" s="111">
        <v>1</v>
      </c>
      <c r="K7" s="112"/>
      <c r="L7" s="86">
        <f>(B7*10)+(H7*10)+(J7*10)</f>
        <v>20</v>
      </c>
      <c r="M7" s="87"/>
      <c r="N7" s="86">
        <f>C27+F27+I27+L27+O27+R27+U27+X27+AA27+AD27+AG27</f>
        <v>0</v>
      </c>
      <c r="O7" s="87"/>
      <c r="P7" s="86">
        <f>N7-L7</f>
        <v>-20</v>
      </c>
      <c r="Q7" s="87"/>
      <c r="R7" s="88">
        <f>F7*500</f>
        <v>3000</v>
      </c>
      <c r="S7" s="88"/>
      <c r="T7" s="114">
        <v>1</v>
      </c>
      <c r="U7" s="115"/>
      <c r="V7" s="33">
        <f>F7 + (D7 * 10000)</f>
        <v>6</v>
      </c>
      <c r="W7" s="4" t="s">
        <v>12</v>
      </c>
      <c r="X7" s="4" t="s">
        <v>13</v>
      </c>
      <c r="Y7" s="33">
        <f>RANK(V7, V$7:V$17, 0)</f>
        <v>4</v>
      </c>
      <c r="Z7" s="99" t="s">
        <v>54</v>
      </c>
      <c r="AA7" s="100"/>
      <c r="AB7" s="100"/>
      <c r="AC7">
        <f>SUM(L7:M17)</f>
        <v>200</v>
      </c>
      <c r="AG7" s="26"/>
      <c r="AH7" s="1"/>
    </row>
    <row r="8" spans="1:34" x14ac:dyDescent="0.25">
      <c r="A8" s="64" t="s">
        <v>23</v>
      </c>
      <c r="B8" s="103">
        <v>1</v>
      </c>
      <c r="C8" s="104"/>
      <c r="D8" s="103"/>
      <c r="E8" s="104"/>
      <c r="F8" s="103">
        <f>B8+T8+D28+G28+J28+M28+P28+S28+V28+Y28+AB28+AE28</f>
        <v>7</v>
      </c>
      <c r="G8" s="104"/>
      <c r="H8" s="133"/>
      <c r="I8" s="134"/>
      <c r="J8" s="133">
        <v>1</v>
      </c>
      <c r="K8" s="134"/>
      <c r="L8" s="86">
        <f t="shared" ref="L8:L17" si="0">(B8*10)+(H8*10)+(J8*10)</f>
        <v>20</v>
      </c>
      <c r="M8" s="87"/>
      <c r="N8" s="86">
        <f t="shared" ref="N8:N17" si="1">C28+F28+I28+L28+O28+R28+U28+X28+AA28+AD28+AG28</f>
        <v>20</v>
      </c>
      <c r="O8" s="87"/>
      <c r="P8" s="86">
        <f t="shared" ref="P8:P17" si="2">N8-L8</f>
        <v>0</v>
      </c>
      <c r="Q8" s="87"/>
      <c r="R8" s="88">
        <f t="shared" ref="R8:R17" si="3">F8*500</f>
        <v>3500</v>
      </c>
      <c r="S8" s="88"/>
      <c r="T8" s="114">
        <v>1</v>
      </c>
      <c r="U8" s="115"/>
      <c r="V8" s="33">
        <f t="shared" ref="V8:V17" si="4">F8 + (D8 * 10000)</f>
        <v>7</v>
      </c>
      <c r="W8" s="4" t="s">
        <v>14</v>
      </c>
      <c r="X8" s="4" t="s">
        <v>18</v>
      </c>
      <c r="Y8" s="33">
        <f t="shared" ref="Y8:Y17" si="5">RANK(V8, V$7:V$17, 0)</f>
        <v>3</v>
      </c>
      <c r="Z8" s="99" t="s">
        <v>55</v>
      </c>
      <c r="AA8" s="100"/>
      <c r="AB8" s="100"/>
      <c r="AC8">
        <f>MAX(B38,E38,H38,K38,N38,Q38,T38,W38,Z38,AC38,AF38)</f>
        <v>9</v>
      </c>
      <c r="AD8" t="s">
        <v>56</v>
      </c>
      <c r="AG8" s="26"/>
      <c r="AH8" s="1"/>
    </row>
    <row r="9" spans="1:34" x14ac:dyDescent="0.25">
      <c r="A9" s="64" t="s">
        <v>24</v>
      </c>
      <c r="B9" s="103">
        <v>1</v>
      </c>
      <c r="C9" s="104"/>
      <c r="D9" s="103"/>
      <c r="E9" s="104"/>
      <c r="F9" s="103">
        <f>B9+T9+D29+G29+J29+M29+P29+S29+V29+Y29+AB29+AE29</f>
        <v>11</v>
      </c>
      <c r="G9" s="104"/>
      <c r="H9" s="133"/>
      <c r="I9" s="134"/>
      <c r="J9" s="133">
        <v>1</v>
      </c>
      <c r="K9" s="134"/>
      <c r="L9" s="86">
        <f t="shared" si="0"/>
        <v>20</v>
      </c>
      <c r="M9" s="87"/>
      <c r="N9" s="86">
        <f t="shared" si="1"/>
        <v>50</v>
      </c>
      <c r="O9" s="87"/>
      <c r="P9" s="86">
        <f t="shared" si="2"/>
        <v>30</v>
      </c>
      <c r="Q9" s="87"/>
      <c r="R9" s="88">
        <f t="shared" si="3"/>
        <v>5500</v>
      </c>
      <c r="S9" s="88"/>
      <c r="T9" s="114">
        <v>3</v>
      </c>
      <c r="U9" s="115"/>
      <c r="V9" s="33">
        <f t="shared" si="4"/>
        <v>11</v>
      </c>
      <c r="W9" s="4" t="s">
        <v>15</v>
      </c>
      <c r="X9" s="4" t="s">
        <v>19</v>
      </c>
      <c r="Y9" s="33">
        <f t="shared" si="5"/>
        <v>2</v>
      </c>
      <c r="Z9" s="99" t="s">
        <v>57</v>
      </c>
      <c r="AA9" s="100"/>
      <c r="AB9" s="100"/>
      <c r="AC9">
        <f>MAX(C27:C37,F27:F37,I27:I37,L27:L37,O27:O37,R27:R37,U27:U37,X27:X37,AA27:AA37,AD27:AD37)</f>
        <v>110</v>
      </c>
      <c r="AD9" t="s">
        <v>58</v>
      </c>
      <c r="AG9" s="26"/>
      <c r="AH9" s="1"/>
    </row>
    <row r="10" spans="1:34" x14ac:dyDescent="0.25">
      <c r="A10" s="64" t="s">
        <v>25</v>
      </c>
      <c r="B10" s="103">
        <v>1</v>
      </c>
      <c r="C10" s="104"/>
      <c r="D10" s="103"/>
      <c r="E10" s="104"/>
      <c r="F10" s="103">
        <f>B10+T10+D30+G30+J30+M30+P30+S30+V30+Y30+AB30+AE30</f>
        <v>1</v>
      </c>
      <c r="G10" s="104"/>
      <c r="H10" s="133"/>
      <c r="I10" s="134"/>
      <c r="J10" s="133">
        <v>1</v>
      </c>
      <c r="K10" s="134"/>
      <c r="L10" s="86">
        <f t="shared" si="0"/>
        <v>20</v>
      </c>
      <c r="M10" s="87"/>
      <c r="N10" s="86">
        <f t="shared" si="1"/>
        <v>0</v>
      </c>
      <c r="O10" s="87"/>
      <c r="P10" s="86">
        <f t="shared" si="2"/>
        <v>-20</v>
      </c>
      <c r="Q10" s="87"/>
      <c r="R10" s="88">
        <f t="shared" si="3"/>
        <v>500</v>
      </c>
      <c r="S10" s="88"/>
      <c r="T10" s="114"/>
      <c r="U10" s="115"/>
      <c r="V10" s="33">
        <f t="shared" si="4"/>
        <v>1</v>
      </c>
      <c r="W10" s="4" t="s">
        <v>16</v>
      </c>
      <c r="X10" s="4" t="s">
        <v>20</v>
      </c>
      <c r="Y10" s="33">
        <f t="shared" si="5"/>
        <v>6</v>
      </c>
      <c r="Z10" s="99" t="s">
        <v>59</v>
      </c>
      <c r="AA10" s="100"/>
      <c r="AB10" s="100"/>
      <c r="AC10">
        <f>SUM(F7:G17)</f>
        <v>49</v>
      </c>
      <c r="AG10" s="26"/>
      <c r="AH10" s="1"/>
    </row>
    <row r="11" spans="1:34" x14ac:dyDescent="0.25">
      <c r="A11" s="64" t="s">
        <v>26</v>
      </c>
      <c r="B11" s="103">
        <v>1</v>
      </c>
      <c r="C11" s="104"/>
      <c r="D11" s="103"/>
      <c r="E11" s="104"/>
      <c r="F11" s="103">
        <f>B11+T11+D31+G31+J31+M31+P31+S31+V31+Y31+AB31+AE31</f>
        <v>4</v>
      </c>
      <c r="G11" s="104"/>
      <c r="H11" s="133"/>
      <c r="I11" s="134"/>
      <c r="J11" s="133">
        <v>1</v>
      </c>
      <c r="K11" s="134"/>
      <c r="L11" s="86">
        <f t="shared" si="0"/>
        <v>20</v>
      </c>
      <c r="M11" s="87"/>
      <c r="N11" s="86">
        <f t="shared" si="1"/>
        <v>0</v>
      </c>
      <c r="O11" s="87"/>
      <c r="P11" s="86">
        <f t="shared" si="2"/>
        <v>-20</v>
      </c>
      <c r="Q11" s="87"/>
      <c r="R11" s="88">
        <f t="shared" si="3"/>
        <v>2000</v>
      </c>
      <c r="S11" s="88"/>
      <c r="T11" s="114"/>
      <c r="U11" s="115"/>
      <c r="V11" s="33">
        <f t="shared" si="4"/>
        <v>4</v>
      </c>
      <c r="W11" s="4" t="s">
        <v>17</v>
      </c>
      <c r="X11" s="4" t="s">
        <v>21</v>
      </c>
      <c r="Y11" s="33">
        <f t="shared" si="5"/>
        <v>5</v>
      </c>
      <c r="Z11" s="99" t="s">
        <v>60</v>
      </c>
      <c r="AA11" s="100"/>
      <c r="AB11" s="100"/>
      <c r="AC11">
        <f>SUM(H7:I17)</f>
        <v>2</v>
      </c>
      <c r="AG11" s="26"/>
      <c r="AH11" s="1"/>
    </row>
    <row r="12" spans="1:34" ht="15.75" customHeight="1" x14ac:dyDescent="0.25">
      <c r="A12" s="64" t="s">
        <v>75</v>
      </c>
      <c r="B12" s="103">
        <v>1</v>
      </c>
      <c r="C12" s="104"/>
      <c r="D12" s="103"/>
      <c r="E12" s="104"/>
      <c r="F12" s="103">
        <f>B12+T12+D32+G32+J32+M32+P32+S32+V32+Y32+AB32+AE32</f>
        <v>1</v>
      </c>
      <c r="G12" s="104"/>
      <c r="H12" s="133">
        <v>1</v>
      </c>
      <c r="I12" s="134"/>
      <c r="J12" s="133">
        <v>1</v>
      </c>
      <c r="K12" s="134"/>
      <c r="L12" s="86">
        <f t="shared" si="0"/>
        <v>30</v>
      </c>
      <c r="M12" s="87"/>
      <c r="N12" s="86">
        <f t="shared" si="1"/>
        <v>0</v>
      </c>
      <c r="O12" s="87"/>
      <c r="P12" s="86">
        <f t="shared" si="2"/>
        <v>-30</v>
      </c>
      <c r="Q12" s="87"/>
      <c r="R12" s="88">
        <f t="shared" si="3"/>
        <v>500</v>
      </c>
      <c r="S12" s="88"/>
      <c r="T12" s="114"/>
      <c r="U12" s="115"/>
      <c r="V12" s="33">
        <f t="shared" si="4"/>
        <v>1</v>
      </c>
      <c r="W12" s="95" t="s">
        <v>48</v>
      </c>
      <c r="X12" s="95"/>
      <c r="Y12" s="33">
        <f t="shared" si="5"/>
        <v>6</v>
      </c>
      <c r="Z12" s="99" t="s">
        <v>61</v>
      </c>
      <c r="AA12" s="100"/>
      <c r="AB12" s="100"/>
      <c r="AC12">
        <f>SUM(J7:K17)</f>
        <v>9</v>
      </c>
      <c r="AG12" s="26"/>
      <c r="AH12" s="1"/>
    </row>
    <row r="13" spans="1:34" ht="15.75" customHeight="1" x14ac:dyDescent="0.25">
      <c r="A13" s="64" t="s">
        <v>27</v>
      </c>
      <c r="B13" s="103"/>
      <c r="C13" s="104"/>
      <c r="D13" s="103"/>
      <c r="E13" s="104"/>
      <c r="F13" s="103">
        <f t="shared" ref="F8:F17" si="6">B13+T13+D33+G33+J33+M33+P33+S33+V33+Y33+AB33+AE33</f>
        <v>0</v>
      </c>
      <c r="G13" s="104"/>
      <c r="H13" s="133"/>
      <c r="I13" s="134"/>
      <c r="J13" s="133"/>
      <c r="K13" s="134"/>
      <c r="L13" s="86">
        <f t="shared" si="0"/>
        <v>0</v>
      </c>
      <c r="M13" s="87"/>
      <c r="N13" s="86">
        <f t="shared" si="1"/>
        <v>0</v>
      </c>
      <c r="O13" s="87"/>
      <c r="P13" s="86">
        <f t="shared" si="2"/>
        <v>0</v>
      </c>
      <c r="Q13" s="87"/>
      <c r="R13" s="88">
        <f t="shared" si="3"/>
        <v>0</v>
      </c>
      <c r="S13" s="88"/>
      <c r="T13" s="114"/>
      <c r="U13" s="115"/>
      <c r="V13" s="33">
        <f t="shared" si="4"/>
        <v>0</v>
      </c>
      <c r="W13" s="95"/>
      <c r="X13" s="95"/>
      <c r="Y13" s="33">
        <f t="shared" si="5"/>
        <v>10</v>
      </c>
      <c r="Z13" s="99"/>
      <c r="AA13" s="100"/>
      <c r="AB13" s="100"/>
      <c r="AG13" s="26"/>
      <c r="AH13" s="1"/>
    </row>
    <row r="14" spans="1:34" ht="15.75" customHeight="1" x14ac:dyDescent="0.25">
      <c r="A14" s="64" t="s">
        <v>93</v>
      </c>
      <c r="B14" s="103"/>
      <c r="C14" s="104"/>
      <c r="D14" s="103"/>
      <c r="E14" s="104"/>
      <c r="F14" s="103">
        <f t="shared" si="6"/>
        <v>0</v>
      </c>
      <c r="G14" s="104"/>
      <c r="H14" s="133"/>
      <c r="I14" s="134"/>
      <c r="J14" s="133"/>
      <c r="K14" s="134"/>
      <c r="L14" s="86">
        <f t="shared" si="0"/>
        <v>0</v>
      </c>
      <c r="M14" s="87"/>
      <c r="N14" s="86">
        <f t="shared" si="1"/>
        <v>0</v>
      </c>
      <c r="O14" s="87"/>
      <c r="P14" s="86">
        <f t="shared" si="2"/>
        <v>0</v>
      </c>
      <c r="Q14" s="87"/>
      <c r="R14" s="88">
        <f t="shared" si="3"/>
        <v>0</v>
      </c>
      <c r="S14" s="88"/>
      <c r="T14" s="114"/>
      <c r="U14" s="115"/>
      <c r="V14" s="33">
        <f t="shared" si="4"/>
        <v>0</v>
      </c>
      <c r="W14" s="95"/>
      <c r="X14" s="95"/>
      <c r="Y14" s="33">
        <f t="shared" si="5"/>
        <v>10</v>
      </c>
      <c r="Z14" s="99"/>
      <c r="AA14" s="100"/>
      <c r="AB14" s="100"/>
      <c r="AG14" s="26"/>
      <c r="AH14" s="1"/>
    </row>
    <row r="15" spans="1:34" ht="15" customHeight="1" x14ac:dyDescent="0.25">
      <c r="A15" s="64" t="s">
        <v>28</v>
      </c>
      <c r="B15" s="103">
        <v>1</v>
      </c>
      <c r="C15" s="104"/>
      <c r="D15" s="103">
        <v>1</v>
      </c>
      <c r="E15" s="104"/>
      <c r="F15" s="103">
        <f t="shared" si="6"/>
        <v>17</v>
      </c>
      <c r="G15" s="104"/>
      <c r="H15" s="133">
        <v>1</v>
      </c>
      <c r="I15" s="134"/>
      <c r="J15" s="133">
        <v>1</v>
      </c>
      <c r="K15" s="134"/>
      <c r="L15" s="86">
        <f t="shared" si="0"/>
        <v>30</v>
      </c>
      <c r="M15" s="87"/>
      <c r="N15" s="86">
        <f t="shared" si="1"/>
        <v>110</v>
      </c>
      <c r="O15" s="87"/>
      <c r="P15" s="86">
        <f t="shared" si="2"/>
        <v>80</v>
      </c>
      <c r="Q15" s="87"/>
      <c r="R15" s="88">
        <f t="shared" si="3"/>
        <v>8500</v>
      </c>
      <c r="S15" s="88"/>
      <c r="T15" s="114">
        <v>5</v>
      </c>
      <c r="U15" s="115"/>
      <c r="V15" s="33">
        <f t="shared" si="4"/>
        <v>10017</v>
      </c>
      <c r="W15" s="95" t="s">
        <v>49</v>
      </c>
      <c r="X15" s="95"/>
      <c r="Y15" s="33">
        <f t="shared" si="5"/>
        <v>1</v>
      </c>
      <c r="Z15" s="99"/>
      <c r="AA15" s="100"/>
      <c r="AB15" s="100"/>
      <c r="AG15" s="26"/>
      <c r="AH15" s="1"/>
    </row>
    <row r="16" spans="1:34" x14ac:dyDescent="0.25">
      <c r="A16" s="64" t="s">
        <v>30</v>
      </c>
      <c r="B16" s="103">
        <v>1</v>
      </c>
      <c r="C16" s="104"/>
      <c r="D16" s="103"/>
      <c r="E16" s="104"/>
      <c r="F16" s="103">
        <f t="shared" si="6"/>
        <v>1</v>
      </c>
      <c r="G16" s="104"/>
      <c r="H16" s="133"/>
      <c r="I16" s="134"/>
      <c r="J16" s="133">
        <v>1</v>
      </c>
      <c r="K16" s="134"/>
      <c r="L16" s="86">
        <f t="shared" si="0"/>
        <v>20</v>
      </c>
      <c r="M16" s="87"/>
      <c r="N16" s="86">
        <f t="shared" si="1"/>
        <v>0</v>
      </c>
      <c r="O16" s="87"/>
      <c r="P16" s="86">
        <f t="shared" si="2"/>
        <v>-20</v>
      </c>
      <c r="Q16" s="87"/>
      <c r="R16" s="88">
        <f t="shared" si="3"/>
        <v>500</v>
      </c>
      <c r="S16" s="88"/>
      <c r="T16" s="114"/>
      <c r="U16" s="115"/>
      <c r="V16" s="33">
        <f t="shared" si="4"/>
        <v>1</v>
      </c>
      <c r="W16" s="95"/>
      <c r="X16" s="95"/>
      <c r="Y16" s="33">
        <f t="shared" si="5"/>
        <v>6</v>
      </c>
      <c r="Z16" s="99"/>
      <c r="AA16" s="100"/>
      <c r="AB16" s="100"/>
      <c r="AG16" s="26"/>
      <c r="AH16" s="1"/>
    </row>
    <row r="17" spans="1:35" ht="15.75" thickBot="1" x14ac:dyDescent="0.3">
      <c r="A17" s="81" t="s">
        <v>29</v>
      </c>
      <c r="B17" s="105">
        <v>1</v>
      </c>
      <c r="C17" s="106"/>
      <c r="D17" s="105"/>
      <c r="E17" s="106"/>
      <c r="F17" s="105">
        <f t="shared" si="6"/>
        <v>1</v>
      </c>
      <c r="G17" s="106"/>
      <c r="H17" s="135"/>
      <c r="I17" s="136"/>
      <c r="J17" s="135">
        <v>1</v>
      </c>
      <c r="K17" s="136"/>
      <c r="L17" s="86">
        <f t="shared" si="0"/>
        <v>20</v>
      </c>
      <c r="M17" s="87"/>
      <c r="N17" s="86">
        <f t="shared" si="1"/>
        <v>0</v>
      </c>
      <c r="O17" s="87"/>
      <c r="P17" s="86">
        <f t="shared" si="2"/>
        <v>-20</v>
      </c>
      <c r="Q17" s="87"/>
      <c r="R17" s="89">
        <f t="shared" si="3"/>
        <v>500</v>
      </c>
      <c r="S17" s="89"/>
      <c r="T17" s="116"/>
      <c r="U17" s="117"/>
      <c r="V17" s="33">
        <f t="shared" si="4"/>
        <v>1</v>
      </c>
      <c r="W17" s="95"/>
      <c r="X17" s="95"/>
      <c r="Y17" s="33">
        <f t="shared" si="5"/>
        <v>6</v>
      </c>
      <c r="Z17" s="99"/>
      <c r="AA17" s="100"/>
      <c r="AB17" s="100"/>
      <c r="AG17" s="26"/>
      <c r="AH17" s="1"/>
    </row>
    <row r="18" spans="1:35" x14ac:dyDescent="0.25">
      <c r="W18" s="95"/>
      <c r="X18" s="95"/>
      <c r="Z18" s="99"/>
      <c r="AA18" s="100"/>
      <c r="AB18" s="100"/>
      <c r="AG18" s="26"/>
      <c r="AH18" s="1"/>
    </row>
    <row r="19" spans="1:35" ht="15.75" thickBot="1" x14ac:dyDescent="0.3">
      <c r="W19" s="95"/>
      <c r="X19" s="95"/>
      <c r="Z19" s="101"/>
      <c r="AA19" s="102"/>
      <c r="AB19" s="102"/>
      <c r="AC19" s="27"/>
      <c r="AD19" s="27"/>
      <c r="AE19" s="27"/>
      <c r="AF19" s="27"/>
      <c r="AG19" s="28"/>
      <c r="AH19" s="1"/>
    </row>
    <row r="20" spans="1:35" ht="15.75" thickBot="1" x14ac:dyDescent="0.3"/>
    <row r="21" spans="1:35" ht="15.75" thickBot="1" x14ac:dyDescent="0.3">
      <c r="AF21" s="90" t="s">
        <v>52</v>
      </c>
      <c r="AG21" s="91"/>
    </row>
    <row r="22" spans="1:35" x14ac:dyDescent="0.25">
      <c r="A22" s="20" t="s">
        <v>31</v>
      </c>
      <c r="B22" s="84">
        <v>46046</v>
      </c>
      <c r="C22" s="84"/>
      <c r="D22" s="85"/>
      <c r="E22" s="83">
        <v>46074</v>
      </c>
      <c r="F22" s="84"/>
      <c r="G22" s="85"/>
      <c r="H22" s="83">
        <v>46102</v>
      </c>
      <c r="I22" s="84"/>
      <c r="J22" s="85"/>
      <c r="K22" s="83">
        <v>46137</v>
      </c>
      <c r="L22" s="84"/>
      <c r="M22" s="85"/>
      <c r="N22" s="83">
        <v>46165</v>
      </c>
      <c r="O22" s="84"/>
      <c r="P22" s="85"/>
      <c r="Q22" s="83">
        <v>46200</v>
      </c>
      <c r="R22" s="84"/>
      <c r="S22" s="85"/>
      <c r="T22" s="83">
        <v>46228</v>
      </c>
      <c r="U22" s="84"/>
      <c r="V22" s="85"/>
      <c r="W22" s="83">
        <v>46256</v>
      </c>
      <c r="X22" s="84"/>
      <c r="Y22" s="85"/>
      <c r="Z22" s="83">
        <v>46291</v>
      </c>
      <c r="AA22" s="84"/>
      <c r="AB22" s="85"/>
      <c r="AC22" s="108">
        <v>46319</v>
      </c>
      <c r="AD22" s="109"/>
      <c r="AE22" s="110"/>
      <c r="AF22" s="92"/>
      <c r="AG22" s="93"/>
    </row>
    <row r="23" spans="1:35" x14ac:dyDescent="0.25">
      <c r="A23" s="21" t="s">
        <v>32</v>
      </c>
      <c r="B23" s="137">
        <v>180</v>
      </c>
      <c r="C23" s="137"/>
      <c r="D23" s="138"/>
      <c r="E23" s="139"/>
      <c r="F23" s="137"/>
      <c r="G23" s="138"/>
      <c r="H23" s="139"/>
      <c r="I23" s="137"/>
      <c r="J23" s="138"/>
      <c r="K23" s="139"/>
      <c r="L23" s="137"/>
      <c r="M23" s="138"/>
      <c r="N23" s="139"/>
      <c r="O23" s="137"/>
      <c r="P23" s="138"/>
      <c r="Q23" s="139"/>
      <c r="R23" s="137"/>
      <c r="S23" s="138"/>
      <c r="T23" s="139"/>
      <c r="U23" s="137"/>
      <c r="V23" s="138"/>
      <c r="W23" s="139"/>
      <c r="X23" s="137"/>
      <c r="Y23" s="138"/>
      <c r="Z23" s="139"/>
      <c r="AA23" s="137"/>
      <c r="AB23" s="138"/>
      <c r="AC23" s="140"/>
      <c r="AD23" s="141"/>
      <c r="AE23" s="142"/>
      <c r="AF23" s="143"/>
      <c r="AG23" s="144"/>
    </row>
    <row r="24" spans="1:35" x14ac:dyDescent="0.25">
      <c r="A24" s="21" t="s">
        <v>33</v>
      </c>
      <c r="B24" s="137">
        <v>20</v>
      </c>
      <c r="C24" s="137"/>
      <c r="D24" s="138"/>
      <c r="E24" s="139"/>
      <c r="F24" s="137"/>
      <c r="G24" s="138"/>
      <c r="H24" s="139"/>
      <c r="I24" s="137"/>
      <c r="J24" s="138"/>
      <c r="K24" s="139"/>
      <c r="L24" s="137"/>
      <c r="M24" s="138"/>
      <c r="N24" s="139"/>
      <c r="O24" s="137"/>
      <c r="P24" s="138"/>
      <c r="Q24" s="139"/>
      <c r="R24" s="137"/>
      <c r="S24" s="138"/>
      <c r="T24" s="139"/>
      <c r="U24" s="137"/>
      <c r="V24" s="138"/>
      <c r="W24" s="139"/>
      <c r="X24" s="137"/>
      <c r="Y24" s="138"/>
      <c r="Z24" s="139"/>
      <c r="AA24" s="137"/>
      <c r="AB24" s="138"/>
      <c r="AC24" s="140"/>
      <c r="AD24" s="141"/>
      <c r="AE24" s="142"/>
      <c r="AF24" s="143"/>
      <c r="AG24" s="144"/>
    </row>
    <row r="25" spans="1:35" x14ac:dyDescent="0.25">
      <c r="A25" s="21" t="s">
        <v>50</v>
      </c>
      <c r="B25" s="137">
        <f>B24</f>
        <v>20</v>
      </c>
      <c r="C25" s="137"/>
      <c r="D25" s="138"/>
      <c r="E25" s="139">
        <f>B25+E24</f>
        <v>20</v>
      </c>
      <c r="F25" s="137"/>
      <c r="G25" s="138"/>
      <c r="H25" s="139">
        <f t="shared" ref="H25" si="7">E25+H24</f>
        <v>20</v>
      </c>
      <c r="I25" s="137"/>
      <c r="J25" s="138"/>
      <c r="K25" s="139">
        <f t="shared" ref="K25" si="8">H25+K24</f>
        <v>20</v>
      </c>
      <c r="L25" s="137"/>
      <c r="M25" s="138"/>
      <c r="N25" s="139">
        <f t="shared" ref="N25" si="9">K25+N24</f>
        <v>20</v>
      </c>
      <c r="O25" s="137"/>
      <c r="P25" s="138"/>
      <c r="Q25" s="139">
        <f t="shared" ref="Q25" si="10">N25+Q24</f>
        <v>20</v>
      </c>
      <c r="R25" s="137"/>
      <c r="S25" s="138"/>
      <c r="T25" s="139">
        <f t="shared" ref="T25" si="11">Q25+T24</f>
        <v>20</v>
      </c>
      <c r="U25" s="137"/>
      <c r="V25" s="138"/>
      <c r="W25" s="139">
        <f t="shared" ref="W25" si="12">T25+W24</f>
        <v>20</v>
      </c>
      <c r="X25" s="137"/>
      <c r="Y25" s="138"/>
      <c r="Z25" s="139">
        <f t="shared" ref="Z25" si="13">W25+Z24</f>
        <v>20</v>
      </c>
      <c r="AA25" s="137"/>
      <c r="AB25" s="138"/>
      <c r="AC25" s="140">
        <f>Z25+AC24</f>
        <v>20</v>
      </c>
      <c r="AD25" s="141"/>
      <c r="AE25" s="142"/>
      <c r="AF25" s="143">
        <f>AC25+AF23</f>
        <v>20</v>
      </c>
      <c r="AG25" s="144"/>
    </row>
    <row r="26" spans="1:35" s="29" customFormat="1" x14ac:dyDescent="0.25">
      <c r="A26" s="22"/>
      <c r="B26" s="24" t="s">
        <v>34</v>
      </c>
      <c r="C26" s="18" t="s">
        <v>7</v>
      </c>
      <c r="D26" s="19" t="s">
        <v>3</v>
      </c>
      <c r="E26" s="17" t="s">
        <v>34</v>
      </c>
      <c r="F26" s="18" t="s">
        <v>7</v>
      </c>
      <c r="G26" s="19" t="s">
        <v>3</v>
      </c>
      <c r="H26" s="17" t="s">
        <v>34</v>
      </c>
      <c r="I26" s="18" t="s">
        <v>7</v>
      </c>
      <c r="J26" s="19" t="s">
        <v>3</v>
      </c>
      <c r="K26" s="17" t="s">
        <v>34</v>
      </c>
      <c r="L26" s="18" t="s">
        <v>7</v>
      </c>
      <c r="M26" s="19" t="s">
        <v>3</v>
      </c>
      <c r="N26" s="17" t="s">
        <v>34</v>
      </c>
      <c r="O26" s="18" t="s">
        <v>7</v>
      </c>
      <c r="P26" s="19" t="s">
        <v>3</v>
      </c>
      <c r="Q26" s="17" t="s">
        <v>34</v>
      </c>
      <c r="R26" s="18" t="s">
        <v>7</v>
      </c>
      <c r="S26" s="19" t="s">
        <v>3</v>
      </c>
      <c r="T26" s="17" t="s">
        <v>34</v>
      </c>
      <c r="U26" s="18" t="s">
        <v>7</v>
      </c>
      <c r="V26" s="19" t="s">
        <v>3</v>
      </c>
      <c r="W26" s="17" t="s">
        <v>34</v>
      </c>
      <c r="X26" s="18" t="s">
        <v>7</v>
      </c>
      <c r="Y26" s="19" t="s">
        <v>3</v>
      </c>
      <c r="Z26" s="17" t="s">
        <v>34</v>
      </c>
      <c r="AA26" s="18" t="s">
        <v>7</v>
      </c>
      <c r="AB26" s="19" t="s">
        <v>3</v>
      </c>
      <c r="AC26" s="17" t="s">
        <v>34</v>
      </c>
      <c r="AD26" s="18" t="s">
        <v>7</v>
      </c>
      <c r="AE26" s="19" t="s">
        <v>3</v>
      </c>
      <c r="AF26" s="17" t="s">
        <v>34</v>
      </c>
      <c r="AG26" s="19" t="s">
        <v>7</v>
      </c>
      <c r="AH26"/>
      <c r="AI26"/>
    </row>
    <row r="27" spans="1:35" x14ac:dyDescent="0.25">
      <c r="A27" s="64" t="s">
        <v>22</v>
      </c>
      <c r="B27" s="6">
        <v>4</v>
      </c>
      <c r="C27" s="147"/>
      <c r="D27" s="65">
        <f>IF(B27="", 0, IFERROR(VLOOKUP(B27, Sheet3!A1:B5, 2, FALSE) + 1, 0))</f>
        <v>4</v>
      </c>
      <c r="E27" s="7"/>
      <c r="F27" s="147"/>
      <c r="G27" s="65">
        <f>IF(E27="", 0, IFERROR(VLOOKUP(E27, Sheet3!A1:B5, 2, FALSE) + 1, 0))</f>
        <v>0</v>
      </c>
      <c r="H27" s="7"/>
      <c r="I27" s="3"/>
      <c r="J27" s="65">
        <f>IF(H27="", 0, IFERROR(VLOOKUP(H27, Sheet3!A1:B5, 2, FALSE) + 1, 0))</f>
        <v>0</v>
      </c>
      <c r="K27" s="7"/>
      <c r="L27" s="147"/>
      <c r="M27" s="65">
        <f>IF(K27="", 0, IFERROR(VLOOKUP(K27, Sheet3!A1:B5, 2, FALSE) + 1, 0))</f>
        <v>0</v>
      </c>
      <c r="N27" s="7"/>
      <c r="O27" s="147"/>
      <c r="P27" s="65">
        <f>IF(N27="", 0, IFERROR(VLOOKUP(N27, Sheet3!A1:B5, 2, FALSE) + 1, 0))</f>
        <v>0</v>
      </c>
      <c r="Q27" s="7"/>
      <c r="R27" s="147"/>
      <c r="S27" s="65">
        <f>IF(Q27="", 0, IFERROR(VLOOKUP(Q27, Sheet3!A1:B5, 2, FALSE) + 1, 0))</f>
        <v>0</v>
      </c>
      <c r="T27" s="7"/>
      <c r="U27" s="147"/>
      <c r="V27" s="65">
        <f>IF(T27="", 0, IFERROR(VLOOKUP(T27, Sheet3!A1:B5, 2, FALSE) + 1, 0))</f>
        <v>0</v>
      </c>
      <c r="W27" s="7"/>
      <c r="X27" s="147"/>
      <c r="Y27" s="65">
        <f>IF(W27="", 0, IFERROR(VLOOKUP(W27, Sheet3!A1:B5, 2, FALSE) + 1, 0))</f>
        <v>0</v>
      </c>
      <c r="Z27" s="7"/>
      <c r="AA27" s="147"/>
      <c r="AB27" s="65">
        <f>IF(Z27="", 0, IFERROR(VLOOKUP(Z27, Sheet3!A1:B5, 2, FALSE) + 1, 0))</f>
        <v>0</v>
      </c>
      <c r="AC27" s="7"/>
      <c r="AD27" s="147"/>
      <c r="AE27" s="65">
        <f>IF(AC27="", 0, IFERROR(VLOOKUP(AC27, Sheet3!A1:B5, 2, FALSE) + 1, 0))</f>
        <v>0</v>
      </c>
      <c r="AF27" s="7"/>
      <c r="AG27" s="8"/>
    </row>
    <row r="28" spans="1:35" x14ac:dyDescent="0.25">
      <c r="A28" s="64" t="s">
        <v>23</v>
      </c>
      <c r="B28" s="5">
        <v>3</v>
      </c>
      <c r="C28" s="72">
        <v>20</v>
      </c>
      <c r="D28" s="65">
        <f>IF(B28="", 0, IFERROR(VLOOKUP(B28, Sheet3!A1:B5, 2, FALSE) + 1, 0))</f>
        <v>5</v>
      </c>
      <c r="E28" s="9"/>
      <c r="F28" s="72"/>
      <c r="G28" s="65">
        <f>IF(E28="", 0, IFERROR(VLOOKUP(E28, Sheet3!A1:B5, 2, FALSE) + 1, 0))</f>
        <v>0</v>
      </c>
      <c r="H28" s="9"/>
      <c r="I28" s="2"/>
      <c r="J28" s="65">
        <f>IF(H28="", 0, IFERROR(VLOOKUP(H28, Sheet3!A1:B5, 2, FALSE) + 1, 0))</f>
        <v>0</v>
      </c>
      <c r="K28" s="9"/>
      <c r="L28" s="72"/>
      <c r="M28" s="65">
        <f>IF(K28="", 0, IFERROR(VLOOKUP(K28, Sheet3!A1:B5, 2, FALSE) + 1, 0))</f>
        <v>0</v>
      </c>
      <c r="N28" s="9"/>
      <c r="O28" s="72"/>
      <c r="P28" s="65">
        <f>IF(N28="", 0, IFERROR(VLOOKUP(N28, Sheet3!A1:B5, 2, FALSE) + 1, 0))</f>
        <v>0</v>
      </c>
      <c r="Q28" s="9"/>
      <c r="R28" s="72"/>
      <c r="S28" s="65">
        <f>IF(Q28="", 0, IFERROR(VLOOKUP(Q28, Sheet3!A1:B5, 2, FALSE) + 1, 0))</f>
        <v>0</v>
      </c>
      <c r="T28" s="9"/>
      <c r="U28" s="72"/>
      <c r="V28" s="65">
        <f>IF(T28="", 0, IFERROR(VLOOKUP(T28, Sheet3!A1:B5, 2, FALSE) + 1, 0))</f>
        <v>0</v>
      </c>
      <c r="W28" s="9"/>
      <c r="X28" s="72"/>
      <c r="Y28" s="65">
        <f>IF(W28="", 0, IFERROR(VLOOKUP(W28, Sheet3!A1:B5, 2, FALSE) + 1, 0))</f>
        <v>0</v>
      </c>
      <c r="Z28" s="9"/>
      <c r="AA28" s="72"/>
      <c r="AB28" s="65">
        <f>IF(Z28="", 0, IFERROR(VLOOKUP(Z28, Sheet3!A1:B5, 2, FALSE) + 1, 0))</f>
        <v>0</v>
      </c>
      <c r="AC28" s="9"/>
      <c r="AD28" s="72"/>
      <c r="AE28" s="65">
        <f>IF(AC28="", 0, IFERROR(VLOOKUP(AC28, Sheet3!A1:B5, 2, FALSE) + 1, 0))</f>
        <v>0</v>
      </c>
      <c r="AF28" s="9"/>
      <c r="AG28" s="13"/>
    </row>
    <row r="29" spans="1:35" x14ac:dyDescent="0.25">
      <c r="A29" s="64" t="s">
        <v>24</v>
      </c>
      <c r="B29" s="5">
        <v>2</v>
      </c>
      <c r="C29" s="72">
        <v>50</v>
      </c>
      <c r="D29" s="65">
        <f>IF(B29="", 0, IFERROR(VLOOKUP(B29, Sheet3!A1:B5, 2, FALSE) + 1, 0))</f>
        <v>7</v>
      </c>
      <c r="E29" s="9"/>
      <c r="F29" s="72"/>
      <c r="G29" s="65">
        <f>IF(E29="", 0, IFERROR(VLOOKUP(E29, Sheet3!A1:B5, 2, FALSE) + 1, 0))</f>
        <v>0</v>
      </c>
      <c r="H29" s="9"/>
      <c r="I29" s="2"/>
      <c r="J29" s="65">
        <f>IF(H29="", 0, IFERROR(VLOOKUP(H29, Sheet3!A1:B5, 2, FALSE) + 1, 0))</f>
        <v>0</v>
      </c>
      <c r="K29" s="9"/>
      <c r="L29" s="72"/>
      <c r="M29" s="65">
        <f>IF(K29="", 0, IFERROR(VLOOKUP(K29, Sheet3!A1:B5, 2, FALSE) + 1, 0))</f>
        <v>0</v>
      </c>
      <c r="N29" s="9"/>
      <c r="O29" s="72"/>
      <c r="P29" s="65">
        <f>IF(N29="", 0, IFERROR(VLOOKUP(N29, Sheet3!A1:B5, 2, FALSE) + 1, 0))</f>
        <v>0</v>
      </c>
      <c r="Q29" s="9"/>
      <c r="R29" s="72"/>
      <c r="S29" s="65">
        <f>IF(Q29="", 0, IFERROR(VLOOKUP(Q29, Sheet3!A1:B5, 2, FALSE) + 1, 0))</f>
        <v>0</v>
      </c>
      <c r="T29" s="9"/>
      <c r="U29" s="72"/>
      <c r="V29" s="65">
        <f>IF(T29="", 0, IFERROR(VLOOKUP(T29, Sheet3!A1:B5, 2, FALSE) + 1, 0))</f>
        <v>0</v>
      </c>
      <c r="W29" s="9"/>
      <c r="X29" s="72"/>
      <c r="Y29" s="65">
        <f>IF(W29="", 0, IFERROR(VLOOKUP(W29, Sheet3!A1:B5, 2, FALSE) + 1, 0))</f>
        <v>0</v>
      </c>
      <c r="Z29" s="9"/>
      <c r="AA29" s="72"/>
      <c r="AB29" s="65">
        <f>IF(Z29="", 0, IFERROR(VLOOKUP(Z29, Sheet3!A1:B5, 2, FALSE) + 1, 0))</f>
        <v>0</v>
      </c>
      <c r="AC29" s="9"/>
      <c r="AD29" s="72"/>
      <c r="AE29" s="65">
        <f>IF(AC29="", 0, IFERROR(VLOOKUP(AC29, Sheet3!A1:B5, 2, FALSE) + 1, 0))</f>
        <v>0</v>
      </c>
      <c r="AF29" s="9"/>
      <c r="AG29" s="13"/>
    </row>
    <row r="30" spans="1:35" x14ac:dyDescent="0.25">
      <c r="A30" s="64" t="s">
        <v>25</v>
      </c>
      <c r="B30" s="5">
        <v>9</v>
      </c>
      <c r="C30" s="72"/>
      <c r="D30" s="65">
        <f>IF(B30="", 0, IFERROR(VLOOKUP(B30, Sheet3!A1:B5, 2, FALSE) + 1, 0))</f>
        <v>0</v>
      </c>
      <c r="E30" s="9"/>
      <c r="F30" s="72"/>
      <c r="G30" s="65">
        <f>IF(E30="", 0, IFERROR(VLOOKUP(E30, Sheet3!A1:B5, 2, FALSE) + 1, 0))</f>
        <v>0</v>
      </c>
      <c r="H30" s="9"/>
      <c r="I30" s="2"/>
      <c r="J30" s="65">
        <f>IF(H30="", 0, IFERROR(VLOOKUP(H30, Sheet3!A1:B5, 2, FALSE) + 1, 0))</f>
        <v>0</v>
      </c>
      <c r="K30" s="9"/>
      <c r="L30" s="72"/>
      <c r="M30" s="65">
        <f>IF(K30="", 0, IFERROR(VLOOKUP(K30, Sheet3!A1:B5, 2, FALSE) + 1, 0))</f>
        <v>0</v>
      </c>
      <c r="N30" s="9"/>
      <c r="O30" s="72"/>
      <c r="P30" s="65">
        <f>IF(N30="", 0, IFERROR(VLOOKUP(N30, Sheet3!A1:B5, 2, FALSE) + 1, 0))</f>
        <v>0</v>
      </c>
      <c r="Q30" s="9"/>
      <c r="R30" s="72"/>
      <c r="S30" s="65">
        <f>IF(Q30="", 0, IFERROR(VLOOKUP(Q30, Sheet3!A1:B5, 2, FALSE) + 1, 0))</f>
        <v>0</v>
      </c>
      <c r="T30" s="9"/>
      <c r="U30" s="72"/>
      <c r="V30" s="65">
        <f>IF(T30="", 0, IFERROR(VLOOKUP(T30, Sheet3!A1:B5, 2, FALSE) + 1, 0))</f>
        <v>0</v>
      </c>
      <c r="W30" s="9"/>
      <c r="X30" s="72"/>
      <c r="Y30" s="65">
        <f>IF(W30="", 0, IFERROR(VLOOKUP(W30, Sheet3!A1:B5, 2, FALSE) + 1, 0))</f>
        <v>0</v>
      </c>
      <c r="Z30" s="9"/>
      <c r="AA30" s="72"/>
      <c r="AB30" s="65">
        <f>IF(Z30="", 0, IFERROR(VLOOKUP(Z30, Sheet3!A1:B5, 2, FALSE) + 1, 0))</f>
        <v>0</v>
      </c>
      <c r="AC30" s="9"/>
      <c r="AD30" s="72"/>
      <c r="AE30" s="65">
        <f>IF(AC30="", 0, IFERROR(VLOOKUP(AC30, Sheet3!A1:B5, 2, FALSE) + 1, 0))</f>
        <v>0</v>
      </c>
      <c r="AF30" s="9"/>
      <c r="AG30" s="13"/>
    </row>
    <row r="31" spans="1:35" x14ac:dyDescent="0.25">
      <c r="A31" s="64" t="s">
        <v>26</v>
      </c>
      <c r="B31" s="5">
        <v>5</v>
      </c>
      <c r="C31" s="72"/>
      <c r="D31" s="65">
        <f>IF(B31="", 0, IFERROR(VLOOKUP(B31, Sheet3!A1:B5, 2, FALSE) + 1, 0))</f>
        <v>3</v>
      </c>
      <c r="E31" s="9"/>
      <c r="F31" s="72"/>
      <c r="G31" s="65">
        <f>IF(E31="", 0, IFERROR(VLOOKUP(E31, Sheet3!A1:B5, 2, FALSE) + 1, 0))</f>
        <v>0</v>
      </c>
      <c r="H31" s="9"/>
      <c r="I31" s="2"/>
      <c r="J31" s="65">
        <f>IF(H31="", 0, IFERROR(VLOOKUP(H31, Sheet3!A1:B5, 2, FALSE) + 1, 0))</f>
        <v>0</v>
      </c>
      <c r="K31" s="9"/>
      <c r="L31" s="72"/>
      <c r="M31" s="65">
        <f>IF(K31="", 0, IFERROR(VLOOKUP(K31, Sheet3!A1:B5, 2, FALSE) + 1, 0))</f>
        <v>0</v>
      </c>
      <c r="N31" s="9"/>
      <c r="O31" s="72"/>
      <c r="P31" s="65">
        <f>IF(N31="", 0, IFERROR(VLOOKUP(N31, Sheet3!A1:B5, 2, FALSE) + 1, 0))</f>
        <v>0</v>
      </c>
      <c r="Q31" s="9"/>
      <c r="R31" s="72"/>
      <c r="S31" s="65">
        <f>IF(Q31="", 0, IFERROR(VLOOKUP(Q31, Sheet3!A1:B5, 2, FALSE) + 1, 0))</f>
        <v>0</v>
      </c>
      <c r="T31" s="9"/>
      <c r="U31" s="72"/>
      <c r="V31" s="65">
        <f>IF(T31="", 0, IFERROR(VLOOKUP(T31, Sheet3!A1:B5, 2, FALSE) + 1, 0))</f>
        <v>0</v>
      </c>
      <c r="W31" s="9"/>
      <c r="X31" s="72"/>
      <c r="Y31" s="65">
        <f>IF(W31="", 0, IFERROR(VLOOKUP(W31, Sheet3!A1:B5, 2, FALSE) + 1, 0))</f>
        <v>0</v>
      </c>
      <c r="Z31" s="9"/>
      <c r="AA31" s="72"/>
      <c r="AB31" s="65">
        <f>IF(Z31="", 0, IFERROR(VLOOKUP(Z31, Sheet3!A1:B5, 2, FALSE) + 1, 0))</f>
        <v>0</v>
      </c>
      <c r="AC31" s="9"/>
      <c r="AD31" s="72"/>
      <c r="AE31" s="65">
        <f>IF(AC31="", 0, IFERROR(VLOOKUP(AC31, Sheet3!A1:B5, 2, FALSE) + 1, 0))</f>
        <v>0</v>
      </c>
      <c r="AF31" s="9"/>
      <c r="AG31" s="13"/>
    </row>
    <row r="32" spans="1:35" x14ac:dyDescent="0.25">
      <c r="A32" s="64" t="s">
        <v>75</v>
      </c>
      <c r="B32" s="5">
        <v>6</v>
      </c>
      <c r="C32" s="72"/>
      <c r="D32" s="65">
        <f>IF(B32="", 0, IFERROR(VLOOKUP(B32, Sheet3!A1:B5, 2, FALSE) + 1, 0))</f>
        <v>0</v>
      </c>
      <c r="E32" s="9"/>
      <c r="F32" s="72"/>
      <c r="G32" s="65">
        <f>IF(E32="", 0, IFERROR(VLOOKUP(E32, Sheet3!A1:B5, 2, FALSE) + 1, 0))</f>
        <v>0</v>
      </c>
      <c r="H32" s="9"/>
      <c r="I32" s="2"/>
      <c r="J32" s="65">
        <f>IF(H32="", 0, IFERROR(VLOOKUP(H32, Sheet3!A1:B5, 2, FALSE) + 1, 0))</f>
        <v>0</v>
      </c>
      <c r="K32" s="9"/>
      <c r="L32" s="72"/>
      <c r="M32" s="65">
        <f>IF(K32="", 0, IFERROR(VLOOKUP(K32, Sheet3!A1:B5, 2, FALSE) + 1, 0))</f>
        <v>0</v>
      </c>
      <c r="N32" s="9"/>
      <c r="O32" s="72"/>
      <c r="P32" s="65">
        <f>IF(N32="", 0, IFERROR(VLOOKUP(N32, Sheet3!A1:B5, 2, FALSE) + 1, 0))</f>
        <v>0</v>
      </c>
      <c r="Q32" s="9"/>
      <c r="R32" s="72"/>
      <c r="S32" s="65">
        <f>IF(Q32="", 0, IFERROR(VLOOKUP(Q32, Sheet3!A1:B5, 2, FALSE) + 1, 0))</f>
        <v>0</v>
      </c>
      <c r="T32" s="9"/>
      <c r="U32" s="72"/>
      <c r="V32" s="65">
        <f>IF(T32="", 0, IFERROR(VLOOKUP(T32, Sheet3!A1:B5, 2, FALSE) + 1, 0))</f>
        <v>0</v>
      </c>
      <c r="W32" s="9"/>
      <c r="X32" s="72"/>
      <c r="Y32" s="65">
        <f>IF(W32="", 0, IFERROR(VLOOKUP(W32, Sheet3!A1:B5, 2, FALSE) + 1, 0))</f>
        <v>0</v>
      </c>
      <c r="Z32" s="9"/>
      <c r="AA32" s="72"/>
      <c r="AB32" s="65">
        <f>IF(Z32="", 0, IFERROR(VLOOKUP(Z32, Sheet3!A1:B5, 2, FALSE) + 1, 0))</f>
        <v>0</v>
      </c>
      <c r="AC32" s="9"/>
      <c r="AD32" s="72"/>
      <c r="AE32" s="65">
        <f>IF(AC32="", 0, IFERROR(VLOOKUP(AC32, Sheet3!A1:B5, 2, FALSE) + 1, 0))</f>
        <v>0</v>
      </c>
      <c r="AF32" s="9"/>
      <c r="AG32" s="13"/>
    </row>
    <row r="33" spans="1:33" x14ac:dyDescent="0.25">
      <c r="A33" s="64" t="s">
        <v>27</v>
      </c>
      <c r="B33" s="145"/>
      <c r="C33" s="148"/>
      <c r="D33" s="146">
        <f>IF(B33="", 0, IFERROR(VLOOKUP(B33, Sheet3!A1:B5, 2, FALSE) + 1, 0))</f>
        <v>0</v>
      </c>
      <c r="E33" s="9"/>
      <c r="F33" s="72"/>
      <c r="G33" s="65">
        <f>IF(E33="", 0, IFERROR(VLOOKUP(E33, Sheet3!A1:B5, 2, FALSE) + 1, 0))</f>
        <v>0</v>
      </c>
      <c r="H33" s="9"/>
      <c r="I33" s="2"/>
      <c r="J33" s="65">
        <f>IF(H33="", 0, IFERROR(VLOOKUP(H33, Sheet3!A1:B5, 2, FALSE) + 1, 0))</f>
        <v>0</v>
      </c>
      <c r="K33" s="9"/>
      <c r="L33" s="72"/>
      <c r="M33" s="65">
        <f>IF(K33="", 0, IFERROR(VLOOKUP(K33, Sheet3!A1:B5, 2, FALSE) + 1, 0))</f>
        <v>0</v>
      </c>
      <c r="N33" s="9"/>
      <c r="O33" s="72"/>
      <c r="P33" s="65">
        <f>IF(N33="", 0, IFERROR(VLOOKUP(N33, Sheet3!A1:B5, 2, FALSE) + 1, 0))</f>
        <v>0</v>
      </c>
      <c r="Q33" s="9"/>
      <c r="R33" s="72"/>
      <c r="S33" s="65">
        <f>IF(Q33="", 0, IFERROR(VLOOKUP(Q33, Sheet3!A1:B5, 2, FALSE) + 1, 0))</f>
        <v>0</v>
      </c>
      <c r="T33" s="9"/>
      <c r="U33" s="72"/>
      <c r="V33" s="65">
        <f>IF(T33="", 0, IFERROR(VLOOKUP(T33, Sheet3!A1:B5, 2, FALSE) + 1, 0))</f>
        <v>0</v>
      </c>
      <c r="W33" s="9"/>
      <c r="X33" s="72"/>
      <c r="Y33" s="65">
        <f>IF(W33="", 0, IFERROR(VLOOKUP(W33, Sheet3!A1:B5, 2, FALSE) + 1, 0))</f>
        <v>0</v>
      </c>
      <c r="Z33" s="9"/>
      <c r="AA33" s="72"/>
      <c r="AB33" s="65">
        <f>IF(Z33="", 0, IFERROR(VLOOKUP(Z33, Sheet3!A1:B5, 2, FALSE) + 1, 0))</f>
        <v>0</v>
      </c>
      <c r="AC33" s="9"/>
      <c r="AD33" s="72"/>
      <c r="AE33" s="65">
        <f>IF(AC33="", 0, IFERROR(VLOOKUP(AC33, Sheet3!A1:B5, 2, FALSE) + 1, 0))</f>
        <v>0</v>
      </c>
      <c r="AF33" s="9"/>
      <c r="AG33" s="13"/>
    </row>
    <row r="34" spans="1:33" x14ac:dyDescent="0.25">
      <c r="A34" s="64" t="s">
        <v>93</v>
      </c>
      <c r="B34" s="145"/>
      <c r="C34" s="148"/>
      <c r="D34" s="146">
        <f>IF(B34="", 0, IFERROR(VLOOKUP(B34, Sheet3!A1:B5, 2, FALSE) + 1, 0))</f>
        <v>0</v>
      </c>
      <c r="E34" s="9"/>
      <c r="F34" s="72"/>
      <c r="G34" s="65">
        <f>IF(E34="", 0, IFERROR(VLOOKUP(E34, Sheet3!A1:B5, 2, FALSE) + 1, 0))</f>
        <v>0</v>
      </c>
      <c r="H34" s="9"/>
      <c r="I34" s="2"/>
      <c r="J34" s="65">
        <f>IF(H34="", 0, IFERROR(VLOOKUP(H34, Sheet3!A1:B5, 2, FALSE) + 1, 0))</f>
        <v>0</v>
      </c>
      <c r="K34" s="9"/>
      <c r="L34" s="72"/>
      <c r="M34" s="65">
        <f>IF(K34="", 0, IFERROR(VLOOKUP(K34, Sheet3!A1:B5, 2, FALSE) + 1, 0))</f>
        <v>0</v>
      </c>
      <c r="N34" s="9"/>
      <c r="O34" s="72"/>
      <c r="P34" s="65">
        <f>IF(N34="", 0, IFERROR(VLOOKUP(N34, Sheet3!A1:B5, 2, FALSE) + 1, 0))</f>
        <v>0</v>
      </c>
      <c r="Q34" s="9"/>
      <c r="R34" s="72"/>
      <c r="S34" s="65">
        <f>IF(Q34="", 0, IFERROR(VLOOKUP(Q34, Sheet3!A1:B5, 2, FALSE) + 1, 0))</f>
        <v>0</v>
      </c>
      <c r="T34" s="9"/>
      <c r="U34" s="72"/>
      <c r="V34" s="65">
        <f>IF(T34="", 0, IFERROR(VLOOKUP(T34, Sheet3!A1:B5, 2, FALSE) + 1, 0))</f>
        <v>0</v>
      </c>
      <c r="W34" s="9"/>
      <c r="X34" s="72"/>
      <c r="Y34" s="65">
        <f>IF(W34="", 0, IFERROR(VLOOKUP(W34, Sheet3!A1:B5, 2, FALSE) + 1, 0))</f>
        <v>0</v>
      </c>
      <c r="Z34" s="9"/>
      <c r="AA34" s="72"/>
      <c r="AB34" s="65">
        <f>IF(Z34="", 0, IFERROR(VLOOKUP(Z34, Sheet3!A1:B5, 2, FALSE) + 1, 0))</f>
        <v>0</v>
      </c>
      <c r="AC34" s="9"/>
      <c r="AD34" s="72"/>
      <c r="AE34" s="65">
        <f>IF(AC34="", 0, IFERROR(VLOOKUP(AC34, Sheet3!A1:B5, 2, FALSE) + 1, 0))</f>
        <v>0</v>
      </c>
      <c r="AF34" s="9"/>
      <c r="AG34" s="13"/>
    </row>
    <row r="35" spans="1:33" x14ac:dyDescent="0.25">
      <c r="A35" s="64" t="s">
        <v>28</v>
      </c>
      <c r="B35" s="5">
        <v>1</v>
      </c>
      <c r="C35" s="72">
        <v>110</v>
      </c>
      <c r="D35" s="65">
        <f>IF(B35="", 0, IFERROR(VLOOKUP(B35, Sheet3!A1:B5, 2, FALSE) + 1, 0))</f>
        <v>11</v>
      </c>
      <c r="E35" s="9"/>
      <c r="F35" s="72"/>
      <c r="G35" s="65">
        <f>IF(E35="", 0, IFERROR(VLOOKUP(E35, Sheet3!A1:B5, 2, FALSE) + 1, 0))</f>
        <v>0</v>
      </c>
      <c r="H35" s="9"/>
      <c r="I35" s="2"/>
      <c r="J35" s="65">
        <f>IF(H35="", 0, IFERROR(VLOOKUP(H35, Sheet3!A1:B5, 2, FALSE) + 1, 0))</f>
        <v>0</v>
      </c>
      <c r="K35" s="9"/>
      <c r="L35" s="72"/>
      <c r="M35" s="65">
        <f>IF(K35="", 0, IFERROR(VLOOKUP(K35, Sheet3!A1:B5, 2, FALSE) + 1, 0))</f>
        <v>0</v>
      </c>
      <c r="N35" s="9"/>
      <c r="O35" s="72"/>
      <c r="P35" s="65">
        <f>IF(N35="", 0, IFERROR(VLOOKUP(N35, Sheet3!A1:B5, 2, FALSE) + 1, 0))</f>
        <v>0</v>
      </c>
      <c r="Q35" s="9"/>
      <c r="R35" s="72"/>
      <c r="S35" s="65">
        <f>IF(Q35="", 0, IFERROR(VLOOKUP(Q35, Sheet3!A1:B5, 2, FALSE) + 1, 0))</f>
        <v>0</v>
      </c>
      <c r="T35" s="9"/>
      <c r="U35" s="72"/>
      <c r="V35" s="65">
        <f>IF(T35="", 0, IFERROR(VLOOKUP(T35, Sheet3!A1:B5, 2, FALSE) + 1, 0))</f>
        <v>0</v>
      </c>
      <c r="W35" s="9"/>
      <c r="X35" s="72"/>
      <c r="Y35" s="65">
        <f>IF(W35="", 0, IFERROR(VLOOKUP(W35, Sheet3!A1:B5, 2, FALSE) + 1, 0))</f>
        <v>0</v>
      </c>
      <c r="Z35" s="9"/>
      <c r="AA35" s="72"/>
      <c r="AB35" s="65">
        <f>IF(Z35="", 0, IFERROR(VLOOKUP(Z35, Sheet3!A1:B5, 2, FALSE) + 1, 0))</f>
        <v>0</v>
      </c>
      <c r="AC35" s="9"/>
      <c r="AD35" s="72"/>
      <c r="AE35" s="65">
        <f>IF(AC35="", 0, IFERROR(VLOOKUP(AC35, Sheet3!A1:B5, 2, FALSE) + 1, 0))</f>
        <v>0</v>
      </c>
      <c r="AF35" s="9"/>
      <c r="AG35" s="13"/>
    </row>
    <row r="36" spans="1:33" x14ac:dyDescent="0.25">
      <c r="A36" s="64" t="s">
        <v>30</v>
      </c>
      <c r="B36" s="5">
        <v>8</v>
      </c>
      <c r="C36" s="72"/>
      <c r="D36" s="65">
        <f>IF(B36="", 0, IFERROR(VLOOKUP(B36, Sheet3!A1:B5, 2, FALSE) + 1, 0))</f>
        <v>0</v>
      </c>
      <c r="E36" s="9"/>
      <c r="F36" s="72"/>
      <c r="G36" s="65">
        <f>IF(E36="", 0, IFERROR(VLOOKUP(E36, Sheet3!A1:B5, 2, FALSE) + 1, 0))</f>
        <v>0</v>
      </c>
      <c r="H36" s="9"/>
      <c r="I36" s="2"/>
      <c r="J36" s="65">
        <f>IF(H36="", 0, IFERROR(VLOOKUP(H36, Sheet3!A1:B5, 2, FALSE) + 1, 0))</f>
        <v>0</v>
      </c>
      <c r="K36" s="9"/>
      <c r="L36" s="72"/>
      <c r="M36" s="65">
        <f>IF(K36="", 0, IFERROR(VLOOKUP(K36, Sheet3!A1:B5, 2, FALSE) + 1, 0))</f>
        <v>0</v>
      </c>
      <c r="N36" s="9"/>
      <c r="O36" s="72"/>
      <c r="P36" s="65">
        <f>IF(N36="", 0, IFERROR(VLOOKUP(N36, Sheet3!A1:B5, 2, FALSE) + 1, 0))</f>
        <v>0</v>
      </c>
      <c r="Q36" s="9"/>
      <c r="R36" s="72"/>
      <c r="S36" s="65">
        <f>IF(Q36="", 0, IFERROR(VLOOKUP(Q36, Sheet3!A1:B5, 2, FALSE) + 1, 0))</f>
        <v>0</v>
      </c>
      <c r="T36" s="9"/>
      <c r="U36" s="72"/>
      <c r="V36" s="65">
        <f>IF(T36="", 0, IFERROR(VLOOKUP(T36, Sheet3!A1:B5, 2, FALSE) + 1, 0))</f>
        <v>0</v>
      </c>
      <c r="W36" s="9"/>
      <c r="X36" s="72"/>
      <c r="Y36" s="65">
        <f>IF(W36="", 0, IFERROR(VLOOKUP(W36, Sheet3!A1:B5, 2, FALSE) + 1, 0))</f>
        <v>0</v>
      </c>
      <c r="Z36" s="9"/>
      <c r="AA36" s="72"/>
      <c r="AB36" s="65">
        <f>IF(Z36="", 0, IFERROR(VLOOKUP(Z36, Sheet3!A1:B5, 2, FALSE) + 1, 0))</f>
        <v>0</v>
      </c>
      <c r="AC36" s="9"/>
      <c r="AD36" s="72"/>
      <c r="AE36" s="65">
        <f>IF(AC36="", 0, IFERROR(VLOOKUP(AC36, Sheet3!A1:B5, 2, FALSE) + 1, 0))</f>
        <v>0</v>
      </c>
      <c r="AF36" s="9"/>
      <c r="AG36" s="13"/>
    </row>
    <row r="37" spans="1:33" ht="15.75" thickBot="1" x14ac:dyDescent="0.3">
      <c r="A37" s="81" t="s">
        <v>29</v>
      </c>
      <c r="B37" s="5">
        <v>7</v>
      </c>
      <c r="C37" s="72"/>
      <c r="D37" s="65">
        <f>IF(B37="", 0, IFERROR(VLOOKUP(B37, Sheet3!A1:B5, 2, FALSE) + 1, 0))</f>
        <v>0</v>
      </c>
      <c r="E37" s="9"/>
      <c r="F37" s="72"/>
      <c r="G37" s="65">
        <f>IF(E37="", 0, IFERROR(VLOOKUP(E37, Sheet3!A1:B5, 2, FALSE) + 1, 0))</f>
        <v>0</v>
      </c>
      <c r="H37" s="9"/>
      <c r="I37" s="2"/>
      <c r="J37" s="65">
        <f>IF(H37="", 0, IFERROR(VLOOKUP(H37, Sheet3!A1:B5, 2, FALSE) + 1, 0))</f>
        <v>0</v>
      </c>
      <c r="K37" s="9"/>
      <c r="L37" s="72"/>
      <c r="M37" s="65">
        <f>IF(K37="", 0, IFERROR(VLOOKUP(K37, Sheet3!A1:B5, 2, FALSE) + 1, 0))</f>
        <v>0</v>
      </c>
      <c r="N37" s="9"/>
      <c r="O37" s="72"/>
      <c r="P37" s="65">
        <f>IF(N37="", 0, IFERROR(VLOOKUP(N37, Sheet3!A1:B5, 2, FALSE) + 1, 0))</f>
        <v>0</v>
      </c>
      <c r="Q37" s="9"/>
      <c r="R37" s="72"/>
      <c r="S37" s="65">
        <f>IF(Q37="", 0, IFERROR(VLOOKUP(Q37, Sheet3!A1:B5, 2, FALSE) + 1, 0))</f>
        <v>0</v>
      </c>
      <c r="T37" s="9"/>
      <c r="U37" s="72"/>
      <c r="V37" s="65">
        <f>IF(T37="", 0, IFERROR(VLOOKUP(T37, Sheet3!A1:B5, 2, FALSE) + 1, 0))</f>
        <v>0</v>
      </c>
      <c r="W37" s="9"/>
      <c r="X37" s="72"/>
      <c r="Y37" s="65">
        <f>IF(W37="", 0, IFERROR(VLOOKUP(W37, Sheet3!A1:B5, 2, FALSE) + 1, 0))</f>
        <v>0</v>
      </c>
      <c r="Z37" s="9"/>
      <c r="AA37" s="72"/>
      <c r="AB37" s="65">
        <f>IF(Z37="", 0, IFERROR(VLOOKUP(Z37, Sheet3!A1:B5, 2, FALSE) + 1, 0))</f>
        <v>0</v>
      </c>
      <c r="AC37" s="9"/>
      <c r="AD37" s="72"/>
      <c r="AE37" s="65">
        <f>IF(AC37="", 0, IFERROR(VLOOKUP(AC37, Sheet3!A1:B5, 2, FALSE) + 1, 0))</f>
        <v>0</v>
      </c>
      <c r="AF37" s="9"/>
      <c r="AG37" s="13"/>
    </row>
    <row r="38" spans="1:33" ht="15.75" thickBot="1" x14ac:dyDescent="0.3">
      <c r="A38" s="23" t="s">
        <v>35</v>
      </c>
      <c r="B38" s="25">
        <f>COUNT(B27:B37)</f>
        <v>9</v>
      </c>
      <c r="C38" s="15"/>
      <c r="D38" s="16"/>
      <c r="E38" s="14">
        <f>COUNT(E27:E37)</f>
        <v>0</v>
      </c>
      <c r="F38" s="15"/>
      <c r="G38" s="16"/>
      <c r="H38" s="14">
        <f>COUNT(H27:H37)</f>
        <v>0</v>
      </c>
      <c r="I38" s="15"/>
      <c r="J38" s="16"/>
      <c r="K38" s="14">
        <f>COUNT(K27:K37)</f>
        <v>0</v>
      </c>
      <c r="L38" s="15"/>
      <c r="M38" s="16"/>
      <c r="N38" s="14">
        <f>COUNT(N27:N37)</f>
        <v>0</v>
      </c>
      <c r="O38" s="15"/>
      <c r="P38" s="16"/>
      <c r="Q38" s="14">
        <f>COUNT(Q27:Q37)</f>
        <v>0</v>
      </c>
      <c r="R38" s="15"/>
      <c r="S38" s="16"/>
      <c r="T38" s="14">
        <f>COUNT(T27:T37)</f>
        <v>0</v>
      </c>
      <c r="U38" s="15"/>
      <c r="V38" s="16"/>
      <c r="W38" s="14">
        <f>COUNT(W27:W37)</f>
        <v>0</v>
      </c>
      <c r="X38" s="15"/>
      <c r="Y38" s="16"/>
      <c r="Z38" s="14">
        <f>COUNT(Z27:Z37)</f>
        <v>0</v>
      </c>
      <c r="AA38" s="15"/>
      <c r="AB38" s="16"/>
      <c r="AC38" s="14">
        <f>COUNT(AC27:AC37)</f>
        <v>0</v>
      </c>
      <c r="AD38" s="15"/>
      <c r="AE38" s="16"/>
      <c r="AF38" s="14">
        <f>COUNT(AF27:AF37)</f>
        <v>0</v>
      </c>
      <c r="AG38" s="16"/>
    </row>
  </sheetData>
  <mergeCells count="182">
    <mergeCell ref="T11:U11"/>
    <mergeCell ref="P17:Q17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P11:Q11"/>
    <mergeCell ref="P12:Q12"/>
    <mergeCell ref="P13:Q13"/>
    <mergeCell ref="P14:Q14"/>
    <mergeCell ref="P15:Q15"/>
    <mergeCell ref="P16:Q16"/>
    <mergeCell ref="T12:U12"/>
    <mergeCell ref="T13:U13"/>
    <mergeCell ref="T14:U14"/>
    <mergeCell ref="T15:U15"/>
    <mergeCell ref="T16:U16"/>
    <mergeCell ref="T17:U17"/>
    <mergeCell ref="R15:S15"/>
    <mergeCell ref="P6:Q6"/>
    <mergeCell ref="P7:Q7"/>
    <mergeCell ref="P8:Q8"/>
    <mergeCell ref="P9:Q9"/>
    <mergeCell ref="P10:Q10"/>
    <mergeCell ref="T6:U6"/>
    <mergeCell ref="T7:U7"/>
    <mergeCell ref="T8:U8"/>
    <mergeCell ref="T9:U9"/>
    <mergeCell ref="T10:U10"/>
    <mergeCell ref="N6:O6"/>
    <mergeCell ref="N7:O7"/>
    <mergeCell ref="N8:O8"/>
    <mergeCell ref="N9:O9"/>
    <mergeCell ref="N10:O10"/>
    <mergeCell ref="N11:O11"/>
    <mergeCell ref="N12:O12"/>
    <mergeCell ref="N13:O13"/>
    <mergeCell ref="N14:O14"/>
    <mergeCell ref="J6:K6"/>
    <mergeCell ref="J7:K7"/>
    <mergeCell ref="J8:K8"/>
    <mergeCell ref="J9:K9"/>
    <mergeCell ref="J10:K10"/>
    <mergeCell ref="J17:K17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J11:K11"/>
    <mergeCell ref="J12:K12"/>
    <mergeCell ref="J13:K13"/>
    <mergeCell ref="J14:K14"/>
    <mergeCell ref="J15:K15"/>
    <mergeCell ref="J16:K16"/>
    <mergeCell ref="L15:M15"/>
    <mergeCell ref="L16:M16"/>
    <mergeCell ref="L17:M17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D9:E9"/>
    <mergeCell ref="D10:E10"/>
    <mergeCell ref="D11:E11"/>
    <mergeCell ref="D12:E12"/>
    <mergeCell ref="D17:E17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B6:C6"/>
    <mergeCell ref="B7:C7"/>
    <mergeCell ref="B8:C8"/>
    <mergeCell ref="B9:C9"/>
    <mergeCell ref="B10:C10"/>
    <mergeCell ref="Z23:AB23"/>
    <mergeCell ref="Z24:AB24"/>
    <mergeCell ref="Z25:AB25"/>
    <mergeCell ref="AC22:AE22"/>
    <mergeCell ref="AC23:AE23"/>
    <mergeCell ref="AC24:AE24"/>
    <mergeCell ref="AC25:AE25"/>
    <mergeCell ref="H23:J23"/>
    <mergeCell ref="H24:J24"/>
    <mergeCell ref="H25:J25"/>
    <mergeCell ref="K22:M22"/>
    <mergeCell ref="K23:M23"/>
    <mergeCell ref="K24:M24"/>
    <mergeCell ref="K25:M25"/>
    <mergeCell ref="B11:C11"/>
    <mergeCell ref="B12:C12"/>
    <mergeCell ref="D6:E6"/>
    <mergeCell ref="D7:E7"/>
    <mergeCell ref="D8:E8"/>
    <mergeCell ref="B23:D23"/>
    <mergeCell ref="B24:D24"/>
    <mergeCell ref="B25:D25"/>
    <mergeCell ref="E22:G22"/>
    <mergeCell ref="E23:G23"/>
    <mergeCell ref="E24:G24"/>
    <mergeCell ref="E25:G25"/>
    <mergeCell ref="B13:C13"/>
    <mergeCell ref="B14:C14"/>
    <mergeCell ref="B15:C15"/>
    <mergeCell ref="B16:C16"/>
    <mergeCell ref="B17:C17"/>
    <mergeCell ref="B22:D22"/>
    <mergeCell ref="D13:E13"/>
    <mergeCell ref="D14:E14"/>
    <mergeCell ref="D15:E15"/>
    <mergeCell ref="D16:E16"/>
    <mergeCell ref="N25:P25"/>
    <mergeCell ref="Q25:S25"/>
    <mergeCell ref="T25:V25"/>
    <mergeCell ref="W25:Y25"/>
    <mergeCell ref="N24:P24"/>
    <mergeCell ref="Q24:S24"/>
    <mergeCell ref="T24:V24"/>
    <mergeCell ref="W24:Y24"/>
    <mergeCell ref="N23:P23"/>
    <mergeCell ref="Q23:S23"/>
    <mergeCell ref="T23:V23"/>
    <mergeCell ref="W23:Y23"/>
    <mergeCell ref="AF21:AG21"/>
    <mergeCell ref="AF22:AG22"/>
    <mergeCell ref="AF23:AG23"/>
    <mergeCell ref="AF24:AG24"/>
    <mergeCell ref="AF25:AG25"/>
    <mergeCell ref="W6:X6"/>
    <mergeCell ref="W12:X14"/>
    <mergeCell ref="W15:X19"/>
    <mergeCell ref="Z6:AG6"/>
    <mergeCell ref="W22:Y22"/>
    <mergeCell ref="Z22:AB22"/>
    <mergeCell ref="Z7:AB7"/>
    <mergeCell ref="Z8:AB8"/>
    <mergeCell ref="Z9:AB9"/>
    <mergeCell ref="Z10:AB10"/>
    <mergeCell ref="Z11:AB11"/>
    <mergeCell ref="Z12:AB12"/>
    <mergeCell ref="Z13:AB13"/>
    <mergeCell ref="Z14:AB14"/>
    <mergeCell ref="Z15:AB15"/>
    <mergeCell ref="Z16:AB16"/>
    <mergeCell ref="Z17:AB17"/>
    <mergeCell ref="Z18:AB18"/>
    <mergeCell ref="Z19:AB19"/>
    <mergeCell ref="H22:J22"/>
    <mergeCell ref="N22:P22"/>
    <mergeCell ref="Q22:S22"/>
    <mergeCell ref="T22:V22"/>
    <mergeCell ref="H15:I15"/>
    <mergeCell ref="H16:I16"/>
    <mergeCell ref="H17:I17"/>
    <mergeCell ref="N15:O15"/>
    <mergeCell ref="N16:O16"/>
    <mergeCell ref="N17:O17"/>
    <mergeCell ref="R16:S16"/>
    <mergeCell ref="R17:S17"/>
  </mergeCells>
  <phoneticPr fontId="2" type="noConversion"/>
  <conditionalFormatting sqref="P7:Q17">
    <cfRule type="cellIs" dxfId="2" priority="1" operator="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hyperlinks>
    <hyperlink ref="A7" location="'Edward Wearing '!A1" display="Edward Wearing" xr:uid="{A09C4E15-0119-4EB8-8CC0-A24635329D66}"/>
    <hyperlink ref="A8" location="'Georgina Wearing'!A1" display="Georgina Wearing" xr:uid="{AD2746AE-B3B5-42FB-9845-ACA57FDF6ACE}"/>
    <hyperlink ref="A9" location="'Luke Daly'!A1" display="Luke Daly" xr:uid="{D6C0D7B5-AAC1-4BCB-BD64-B65293890CC5}"/>
    <hyperlink ref="A10" location="'Daniel Horne'!A1" display="Daniel Horne" xr:uid="{129440A0-9422-471E-9242-46B9CE328348}"/>
    <hyperlink ref="A11" location="'Darren Daly'!A1" display="Darren Daly" xr:uid="{6A57C5A4-F3D8-47B1-8F8E-2B0FEFBDAF0F}"/>
    <hyperlink ref="A12" location="'Chris Daly'!A1" display="Chris Daly" xr:uid="{5791D3D5-10A3-41DA-B92C-082783C467C0}"/>
    <hyperlink ref="A13" location="'Stephen Flood'!A1" display="Stephen Flood" xr:uid="{DFA70308-AE02-49D4-839D-F4AEAC3A1674}"/>
    <hyperlink ref="A14" location="'Phil Landsberger'!A1" display="Phill Landsberger" xr:uid="{5324B8AB-0FE7-4EEC-99F9-6D0EE78CC1D1}"/>
    <hyperlink ref="A15" location="'Liam Duxbury'!A1" display="Liam Duxbury" xr:uid="{0E70E001-F1A9-4E48-A1FE-847406E922D3}"/>
    <hyperlink ref="A16" location="'Nathen Benson'!A1" display="Nathen Benson" xr:uid="{19AD48F4-CC9F-494C-87E7-B9C9EDFFE02D}"/>
    <hyperlink ref="A17" location="'Dave Taylor'!A1" display="Dave Taylor" xr:uid="{856217F9-6713-442A-A21F-1E854A280B80}"/>
    <hyperlink ref="A27" location="'Edward Wearing '!A1" display="Edward Wearing" xr:uid="{0E111A4A-8AA5-4815-A60B-14142BA2A7F6}"/>
    <hyperlink ref="A28" location="'Georgina Wearing'!A1" display="Georgina Wearing" xr:uid="{1E58BD11-06BD-4DDB-8635-F565B288E988}"/>
    <hyperlink ref="A29" location="'Luke Daly'!A1" display="Luke Daly" xr:uid="{8482E056-318E-4F50-967B-E8B968E84763}"/>
    <hyperlink ref="A30" location="'Daniel Horne'!A1" display="Daniel Horne" xr:uid="{6254FEB7-E014-401B-85A8-40C6AC075BD2}"/>
    <hyperlink ref="A31" location="'Darren Daly'!A1" display="Darren Daly" xr:uid="{C93D0DC8-663F-4FF9-B87A-74049FEB3BC9}"/>
    <hyperlink ref="A32" location="'Chris Daly'!A1" display="Chris Daly" xr:uid="{55EA6694-0AB8-46B6-9461-5B26E5F7A61F}"/>
    <hyperlink ref="A33" location="'Stephen Flood'!A1" display="Stephen Flood" xr:uid="{22B80B2B-FF76-4450-98F9-FEB496825F5F}"/>
    <hyperlink ref="A34" location="'Phil Landsberger'!A1" display="Phill Landsberger" xr:uid="{62678473-552C-41A8-A9AC-3576216DA2BA}"/>
    <hyperlink ref="A35" location="'Liam Duxbury'!A1" display="Liam Duxbury" xr:uid="{498CD94B-3839-4049-B777-F18CBB060683}"/>
    <hyperlink ref="A36" location="'Nathen Benson'!A1" display="Nathen Benson" xr:uid="{FD1037BF-F450-4F1A-937D-FAAC9F934207}"/>
    <hyperlink ref="A37" location="'Dave Taylor'!A1" display="Dave Taylor" xr:uid="{5EF0A366-E585-4C44-8B45-21F74248314E}"/>
  </hyperlinks>
  <pageMargins left="0.7" right="0.7" top="0.75" bottom="0.75" header="0.3" footer="0.3"/>
  <pageSetup scale="4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B5561-BB7C-489C-97B6-CEEB97AA63F4}">
  <dimension ref="A1:B5"/>
  <sheetViews>
    <sheetView workbookViewId="0">
      <selection activeCell="D16" sqref="D16"/>
    </sheetView>
  </sheetViews>
  <sheetFormatPr defaultRowHeight="15" x14ac:dyDescent="0.25"/>
  <sheetData>
    <row r="1" spans="1:2" x14ac:dyDescent="0.25">
      <c r="A1">
        <v>1</v>
      </c>
      <c r="B1">
        <v>10</v>
      </c>
    </row>
    <row r="2" spans="1:2" x14ac:dyDescent="0.25">
      <c r="A2">
        <v>2</v>
      </c>
      <c r="B2">
        <v>6</v>
      </c>
    </row>
    <row r="3" spans="1:2" x14ac:dyDescent="0.25">
      <c r="A3">
        <v>3</v>
      </c>
      <c r="B3">
        <v>4</v>
      </c>
    </row>
    <row r="4" spans="1:2" x14ac:dyDescent="0.25">
      <c r="A4">
        <v>4</v>
      </c>
      <c r="B4">
        <v>3</v>
      </c>
    </row>
    <row r="5" spans="1:2" x14ac:dyDescent="0.25">
      <c r="A5">
        <v>5</v>
      </c>
      <c r="B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71328-D32A-474C-B9B3-21E32943D41D}">
  <sheetPr>
    <pageSetUpPr fitToPage="1"/>
  </sheetPr>
  <dimension ref="A1:N50"/>
  <sheetViews>
    <sheetView showGridLines="0" workbookViewId="0">
      <selection activeCell="B4" sqref="B4:D4"/>
    </sheetView>
  </sheetViews>
  <sheetFormatPr defaultRowHeight="15" x14ac:dyDescent="0.25"/>
  <cols>
    <col min="1" max="1" width="28" bestFit="1" customWidth="1"/>
    <col min="2" max="12" width="12.7109375" customWidth="1"/>
  </cols>
  <sheetData>
    <row r="1" spans="1:7" ht="59.25" customHeight="1" x14ac:dyDescent="0.55000000000000004">
      <c r="A1" s="41" t="s">
        <v>65</v>
      </c>
      <c r="B1" s="37"/>
      <c r="C1" s="37"/>
      <c r="D1" s="37"/>
      <c r="E1" s="120"/>
      <c r="F1" s="120"/>
      <c r="G1" s="120"/>
    </row>
    <row r="2" spans="1:7" x14ac:dyDescent="0.25">
      <c r="A2" s="40" t="s">
        <v>66</v>
      </c>
    </row>
    <row r="3" spans="1:7" x14ac:dyDescent="0.25">
      <c r="A3" s="35" t="s">
        <v>39</v>
      </c>
      <c r="B3" s="125" t="s">
        <v>45</v>
      </c>
      <c r="C3" s="125"/>
      <c r="D3" s="125"/>
    </row>
    <row r="4" spans="1:7" ht="46.5" x14ac:dyDescent="0.7">
      <c r="A4" s="36">
        <f>Sheet1!Y7</f>
        <v>4</v>
      </c>
      <c r="B4" s="127">
        <f>Sheet1!F7</f>
        <v>6</v>
      </c>
      <c r="C4" s="127"/>
      <c r="D4" s="127"/>
      <c r="E4" s="38"/>
    </row>
    <row r="5" spans="1:7" ht="15" customHeight="1" x14ac:dyDescent="0.25"/>
    <row r="6" spans="1:7" x14ac:dyDescent="0.25">
      <c r="A6" s="53" t="s">
        <v>51</v>
      </c>
      <c r="B6" s="129" t="s">
        <v>41</v>
      </c>
      <c r="C6" s="129"/>
      <c r="D6" s="129"/>
    </row>
    <row r="7" spans="1:7" ht="46.5" x14ac:dyDescent="0.7">
      <c r="A7" s="54">
        <f>Sheet1!P7</f>
        <v>-20</v>
      </c>
      <c r="B7" s="128">
        <f>IFERROR(Sheet1!D7/Sheet1!B7, 0)</f>
        <v>0</v>
      </c>
      <c r="C7" s="128"/>
      <c r="D7" s="128"/>
      <c r="E7" s="43"/>
    </row>
    <row r="8" spans="1:7" ht="15" customHeight="1" x14ac:dyDescent="0.25">
      <c r="A8" s="43"/>
      <c r="B8" s="43"/>
      <c r="C8" s="43"/>
      <c r="D8" s="43"/>
      <c r="E8" s="43"/>
    </row>
    <row r="9" spans="1:7" x14ac:dyDescent="0.25">
      <c r="A9" s="56" t="s">
        <v>40</v>
      </c>
      <c r="B9" s="130" t="s">
        <v>42</v>
      </c>
      <c r="C9" s="130"/>
      <c r="D9" s="130"/>
      <c r="E9" s="43"/>
    </row>
    <row r="10" spans="1:7" ht="46.5" x14ac:dyDescent="0.7">
      <c r="A10" s="57">
        <f>IFERROR(AVERAGE(Sheet1!B27,Sheet1!E27,Sheet1!H27,Sheet1!K27,Sheet1!N27,Sheet1!Q27,Sheet1!T27,Sheet1!W27,Sheet1!Z27,Sheet1!AC27,Sheet1!AF27), 0)</f>
        <v>4</v>
      </c>
      <c r="B10" s="131">
        <f>IFERROR(AVERAGE(Sheet1!C27,Sheet1!F27,Sheet1!I27,Sheet1!L27,Sheet1!O27,Sheet1!R27,Sheet1!U27,Sheet1!X27,Sheet1!AA27,Sheet1!AD27,Sheet1!AG27), 0)</f>
        <v>0</v>
      </c>
      <c r="C10" s="131"/>
      <c r="D10" s="131"/>
      <c r="E10" s="39"/>
    </row>
    <row r="11" spans="1:7" x14ac:dyDescent="0.25">
      <c r="A11" s="42"/>
      <c r="B11" s="34"/>
      <c r="C11" s="34"/>
      <c r="D11" s="34"/>
      <c r="E11" s="34"/>
    </row>
    <row r="12" spans="1:7" x14ac:dyDescent="0.25">
      <c r="A12" s="58" t="s">
        <v>62</v>
      </c>
      <c r="B12" s="121" t="s">
        <v>63</v>
      </c>
      <c r="C12" s="121"/>
      <c r="D12" s="121"/>
    </row>
    <row r="13" spans="1:7" ht="46.5" x14ac:dyDescent="0.7">
      <c r="A13" s="59">
        <f>AVERAGE(Sheet1!D27,Sheet1!G27,Sheet1!J27,Sheet1!M27,Sheet1!P27,Sheet1!S27,Sheet1!V27,Sheet1!Y27,Sheet1!AB27,Sheet1!AE27)</f>
        <v>0.4</v>
      </c>
      <c r="B13" s="122">
        <f>AVERAGE(B27:L36)</f>
        <v>1</v>
      </c>
      <c r="C13" s="122"/>
      <c r="D13" s="122"/>
    </row>
    <row r="15" spans="1:7" x14ac:dyDescent="0.25">
      <c r="A15" s="60" t="s">
        <v>43</v>
      </c>
      <c r="B15" s="123" t="s">
        <v>44</v>
      </c>
      <c r="C15" s="123"/>
      <c r="D15" s="123"/>
      <c r="E15" s="55"/>
    </row>
    <row r="16" spans="1:7" ht="46.5" customHeight="1" x14ac:dyDescent="0.7">
      <c r="A16" s="77">
        <f>MAX(B23:L23)</f>
        <v>0</v>
      </c>
      <c r="B16" s="126">
        <v>1</v>
      </c>
      <c r="C16" s="126"/>
      <c r="D16" s="126"/>
      <c r="E16" s="38"/>
    </row>
    <row r="17" spans="1:14" x14ac:dyDescent="0.25">
      <c r="B17" s="124"/>
      <c r="C17" s="124"/>
      <c r="D17" s="124"/>
      <c r="E17" s="124"/>
    </row>
    <row r="18" spans="1:14" x14ac:dyDescent="0.25">
      <c r="A18" s="61" t="s">
        <v>38</v>
      </c>
      <c r="B18" s="118" t="s">
        <v>46</v>
      </c>
      <c r="C18" s="118"/>
      <c r="D18" s="118"/>
    </row>
    <row r="19" spans="1:14" ht="46.5" customHeight="1" x14ac:dyDescent="0.35">
      <c r="A19" s="62" t="str">
        <f>INDEX(A27:A36, MATCH(MAX(M27:M36), M27:M36, 0))</f>
        <v>Dave Taylor</v>
      </c>
      <c r="B19" s="119" t="str">
        <f>INDEX(A39:A48, MATCH(MAX(M39:M48), M39:M48, 0))</f>
        <v>Liam Duxbury</v>
      </c>
      <c r="C19" s="119"/>
      <c r="D19" s="119"/>
      <c r="E19" s="38"/>
    </row>
    <row r="20" spans="1:14" ht="15.75" thickBot="1" x14ac:dyDescent="0.3">
      <c r="C20" s="38"/>
      <c r="D20" s="38"/>
      <c r="E20" s="38"/>
    </row>
    <row r="21" spans="1:14" ht="15.75" thickBot="1" x14ac:dyDescent="0.3">
      <c r="A21" s="44" t="s">
        <v>31</v>
      </c>
      <c r="B21" s="66">
        <v>46046</v>
      </c>
      <c r="C21" s="66">
        <v>46074</v>
      </c>
      <c r="D21" s="66">
        <v>46102</v>
      </c>
      <c r="E21" s="66">
        <v>46137</v>
      </c>
      <c r="F21" s="66">
        <v>46165</v>
      </c>
      <c r="G21" s="66">
        <v>46200</v>
      </c>
      <c r="H21" s="66">
        <v>46228</v>
      </c>
      <c r="I21" s="66">
        <v>46256</v>
      </c>
      <c r="J21" s="66">
        <v>46291</v>
      </c>
      <c r="K21" s="66">
        <v>46319</v>
      </c>
      <c r="L21" s="67" t="s">
        <v>67</v>
      </c>
      <c r="M21" s="45"/>
    </row>
    <row r="22" spans="1:14" x14ac:dyDescent="0.25">
      <c r="A22" s="47" t="s">
        <v>68</v>
      </c>
      <c r="B22" s="68">
        <v>20</v>
      </c>
      <c r="C22" s="69"/>
      <c r="D22" s="69"/>
      <c r="E22" s="69"/>
      <c r="F22" s="69"/>
      <c r="G22" s="69"/>
      <c r="H22" s="69"/>
      <c r="I22" s="69"/>
      <c r="J22" s="69"/>
      <c r="K22" s="69"/>
      <c r="L22" s="70"/>
      <c r="M22" s="46"/>
    </row>
    <row r="23" spans="1:14" x14ac:dyDescent="0.25">
      <c r="A23" s="47" t="s">
        <v>4</v>
      </c>
      <c r="B23" s="71">
        <v>0</v>
      </c>
      <c r="C23" s="72"/>
      <c r="D23" s="72"/>
      <c r="E23" s="72"/>
      <c r="F23" s="72"/>
      <c r="G23" s="72"/>
      <c r="H23" s="72"/>
      <c r="I23" s="72"/>
      <c r="J23" s="72"/>
      <c r="K23" s="72"/>
      <c r="L23" s="73"/>
      <c r="M23" s="46"/>
    </row>
    <row r="24" spans="1:14" ht="15.75" thickBot="1" x14ac:dyDescent="0.3">
      <c r="A24" s="47" t="s">
        <v>5</v>
      </c>
      <c r="B24" s="74">
        <v>10</v>
      </c>
      <c r="C24" s="75"/>
      <c r="D24" s="75"/>
      <c r="E24" s="75"/>
      <c r="F24" s="75"/>
      <c r="G24" s="75"/>
      <c r="H24" s="75"/>
      <c r="I24" s="75"/>
      <c r="J24" s="75"/>
      <c r="K24" s="75"/>
      <c r="L24" s="76"/>
      <c r="M24" s="46"/>
    </row>
    <row r="25" spans="1:14" x14ac:dyDescent="0.25">
      <c r="A25" s="80" t="s">
        <v>8</v>
      </c>
      <c r="B25" s="78">
        <f>Sheet1!C27-'Edward Wearing '!B22</f>
        <v>-20</v>
      </c>
      <c r="C25" s="78">
        <f>Sheet1!F27-'Edward Wearing '!C22</f>
        <v>0</v>
      </c>
      <c r="D25" s="78">
        <f>Sheet1!I27-'Edward Wearing '!D22</f>
        <v>0</v>
      </c>
      <c r="E25" s="78">
        <f>Sheet1!L27-'Edward Wearing '!E22</f>
        <v>0</v>
      </c>
      <c r="F25" s="78">
        <f>Sheet1!O27-'Edward Wearing '!F22</f>
        <v>0</v>
      </c>
      <c r="G25" s="78">
        <f>Sheet1!R27-'Edward Wearing '!G22</f>
        <v>0</v>
      </c>
      <c r="H25" s="78">
        <f>Sheet1!U27-'Edward Wearing '!H22</f>
        <v>0</v>
      </c>
      <c r="I25" s="78">
        <f>Sheet1!X27-'Edward Wearing '!I22</f>
        <v>0</v>
      </c>
      <c r="J25" s="78">
        <f>Sheet1!AA27-'Edward Wearing '!J22</f>
        <v>0</v>
      </c>
      <c r="K25" s="78">
        <f>Sheet1!AD27-'Edward Wearing '!K22</f>
        <v>0</v>
      </c>
      <c r="L25" s="78">
        <f>Sheet1!AG27-'Edward Wearing '!L22</f>
        <v>0</v>
      </c>
      <c r="M25" s="46"/>
    </row>
    <row r="26" spans="1:14" ht="15.75" thickBot="1" x14ac:dyDescent="0.3">
      <c r="A26" s="47" t="s">
        <v>36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46" t="s">
        <v>64</v>
      </c>
    </row>
    <row r="27" spans="1:14" x14ac:dyDescent="0.25">
      <c r="A27" s="48" t="s">
        <v>23</v>
      </c>
      <c r="B27" s="7"/>
      <c r="C27" s="3"/>
      <c r="D27" s="3"/>
      <c r="E27" s="3"/>
      <c r="F27" s="3"/>
      <c r="G27" s="3"/>
      <c r="H27" s="3"/>
      <c r="I27" s="3"/>
      <c r="J27" s="3"/>
      <c r="K27" s="3"/>
      <c r="L27" s="8"/>
      <c r="M27" s="46">
        <f>SUM(B27:L27)</f>
        <v>0</v>
      </c>
      <c r="N27" s="33">
        <f>M27-M39</f>
        <v>0</v>
      </c>
    </row>
    <row r="28" spans="1:14" x14ac:dyDescent="0.25">
      <c r="A28" s="48" t="s">
        <v>24</v>
      </c>
      <c r="B28" s="9"/>
      <c r="C28" s="2"/>
      <c r="D28" s="2"/>
      <c r="E28" s="2"/>
      <c r="F28" s="2"/>
      <c r="G28" s="2"/>
      <c r="H28" s="2"/>
      <c r="I28" s="2"/>
      <c r="J28" s="2"/>
      <c r="K28" s="2"/>
      <c r="L28" s="13"/>
      <c r="M28" s="46">
        <f t="shared" ref="M28:M35" si="0">SUM(B28:L28)</f>
        <v>0</v>
      </c>
      <c r="N28" s="33">
        <f t="shared" ref="N28:N36" si="1">M28-M40</f>
        <v>0</v>
      </c>
    </row>
    <row r="29" spans="1:14" x14ac:dyDescent="0.25">
      <c r="A29" s="48" t="s">
        <v>25</v>
      </c>
      <c r="B29" s="9"/>
      <c r="C29" s="2"/>
      <c r="D29" s="2"/>
      <c r="E29" s="2"/>
      <c r="F29" s="2"/>
      <c r="G29" s="2"/>
      <c r="H29" s="2"/>
      <c r="I29" s="2"/>
      <c r="J29" s="2"/>
      <c r="K29" s="2"/>
      <c r="L29" s="13"/>
      <c r="M29" s="46">
        <f t="shared" si="0"/>
        <v>0</v>
      </c>
      <c r="N29" s="33">
        <f t="shared" si="1"/>
        <v>0</v>
      </c>
    </row>
    <row r="30" spans="1:14" x14ac:dyDescent="0.25">
      <c r="A30" s="48" t="s">
        <v>26</v>
      </c>
      <c r="B30" s="9"/>
      <c r="C30" s="2"/>
      <c r="D30" s="2"/>
      <c r="E30" s="2"/>
      <c r="F30" s="2"/>
      <c r="G30" s="2"/>
      <c r="H30" s="2"/>
      <c r="I30" s="2"/>
      <c r="J30" s="2"/>
      <c r="K30" s="2"/>
      <c r="L30" s="13"/>
      <c r="M30" s="46">
        <f t="shared" si="0"/>
        <v>0</v>
      </c>
      <c r="N30" s="33">
        <f t="shared" si="1"/>
        <v>0</v>
      </c>
    </row>
    <row r="31" spans="1:14" x14ac:dyDescent="0.25">
      <c r="A31" s="48" t="s">
        <v>75</v>
      </c>
      <c r="B31" s="9"/>
      <c r="C31" s="2"/>
      <c r="D31" s="2"/>
      <c r="E31" s="2"/>
      <c r="F31" s="2"/>
      <c r="G31" s="2"/>
      <c r="H31" s="2"/>
      <c r="I31" s="2"/>
      <c r="J31" s="2"/>
      <c r="K31" s="2"/>
      <c r="L31" s="13"/>
      <c r="M31" s="46">
        <f t="shared" si="0"/>
        <v>0</v>
      </c>
      <c r="N31" s="33">
        <f t="shared" si="1"/>
        <v>0</v>
      </c>
    </row>
    <row r="32" spans="1:14" x14ac:dyDescent="0.25">
      <c r="A32" s="48" t="s">
        <v>27</v>
      </c>
      <c r="B32" s="9"/>
      <c r="C32" s="2"/>
      <c r="D32" s="2"/>
      <c r="E32" s="2"/>
      <c r="F32" s="2"/>
      <c r="G32" s="2"/>
      <c r="H32" s="2"/>
      <c r="I32" s="2"/>
      <c r="J32" s="2"/>
      <c r="K32" s="2"/>
      <c r="L32" s="13"/>
      <c r="M32" s="46">
        <f t="shared" si="0"/>
        <v>0</v>
      </c>
      <c r="N32" s="33">
        <f t="shared" si="1"/>
        <v>0</v>
      </c>
    </row>
    <row r="33" spans="1:14" x14ac:dyDescent="0.25">
      <c r="A33" s="48" t="s">
        <v>47</v>
      </c>
      <c r="B33" s="9"/>
      <c r="C33" s="2"/>
      <c r="D33" s="2"/>
      <c r="E33" s="2"/>
      <c r="F33" s="2"/>
      <c r="G33" s="2"/>
      <c r="H33" s="2"/>
      <c r="I33" s="2"/>
      <c r="J33" s="2"/>
      <c r="K33" s="2"/>
      <c r="L33" s="13"/>
      <c r="M33" s="46">
        <f t="shared" si="0"/>
        <v>0</v>
      </c>
      <c r="N33" s="33">
        <f t="shared" si="1"/>
        <v>0</v>
      </c>
    </row>
    <row r="34" spans="1:14" x14ac:dyDescent="0.25">
      <c r="A34" s="48" t="s">
        <v>28</v>
      </c>
      <c r="B34" s="9"/>
      <c r="C34" s="2"/>
      <c r="D34" s="2"/>
      <c r="E34" s="2"/>
      <c r="F34" s="2"/>
      <c r="G34" s="2"/>
      <c r="H34" s="2"/>
      <c r="I34" s="2"/>
      <c r="J34" s="2"/>
      <c r="K34" s="2"/>
      <c r="L34" s="13"/>
      <c r="M34" s="46">
        <f t="shared" si="0"/>
        <v>0</v>
      </c>
      <c r="N34" s="33">
        <f t="shared" si="1"/>
        <v>-1</v>
      </c>
    </row>
    <row r="35" spans="1:14" x14ac:dyDescent="0.25">
      <c r="A35" s="48" t="s">
        <v>30</v>
      </c>
      <c r="B35" s="9"/>
      <c r="C35" s="2"/>
      <c r="D35" s="2"/>
      <c r="E35" s="2"/>
      <c r="F35" s="2"/>
      <c r="G35" s="2"/>
      <c r="H35" s="2"/>
      <c r="I35" s="2"/>
      <c r="J35" s="2"/>
      <c r="K35" s="2"/>
      <c r="L35" s="13"/>
      <c r="M35" s="46">
        <f t="shared" si="0"/>
        <v>0</v>
      </c>
      <c r="N35" s="33">
        <f t="shared" si="1"/>
        <v>0</v>
      </c>
    </row>
    <row r="36" spans="1:14" ht="15.75" thickBot="1" x14ac:dyDescent="0.3">
      <c r="A36" s="48" t="s">
        <v>29</v>
      </c>
      <c r="B36" s="10">
        <v>1</v>
      </c>
      <c r="C36" s="11"/>
      <c r="D36" s="11"/>
      <c r="E36" s="11"/>
      <c r="F36" s="11"/>
      <c r="G36" s="11"/>
      <c r="H36" s="11"/>
      <c r="I36" s="11"/>
      <c r="J36" s="11"/>
      <c r="K36" s="11"/>
      <c r="L36" s="12"/>
      <c r="M36" s="46">
        <f>SUM(B36:L36)</f>
        <v>1</v>
      </c>
      <c r="N36" s="33">
        <f t="shared" si="1"/>
        <v>1</v>
      </c>
    </row>
    <row r="37" spans="1:14" x14ac:dyDescent="0.25">
      <c r="A37" s="48" t="s">
        <v>64</v>
      </c>
      <c r="B37" s="51">
        <f>SUM(B27:B36)</f>
        <v>1</v>
      </c>
      <c r="C37" s="51">
        <f t="shared" ref="C37:L37" si="2">SUM(C27:C36)</f>
        <v>0</v>
      </c>
      <c r="D37" s="51">
        <f t="shared" si="2"/>
        <v>0</v>
      </c>
      <c r="E37" s="51">
        <f t="shared" si="2"/>
        <v>0</v>
      </c>
      <c r="F37" s="51">
        <f t="shared" si="2"/>
        <v>0</v>
      </c>
      <c r="G37" s="51">
        <f t="shared" si="2"/>
        <v>0</v>
      </c>
      <c r="H37" s="51">
        <f t="shared" si="2"/>
        <v>0</v>
      </c>
      <c r="I37" s="51">
        <f t="shared" si="2"/>
        <v>0</v>
      </c>
      <c r="J37" s="51">
        <f t="shared" si="2"/>
        <v>0</v>
      </c>
      <c r="K37" s="51">
        <f t="shared" si="2"/>
        <v>0</v>
      </c>
      <c r="L37" s="51">
        <f t="shared" si="2"/>
        <v>0</v>
      </c>
      <c r="M37" s="46"/>
      <c r="N37" s="33"/>
    </row>
    <row r="38" spans="1:14" ht="15.75" thickBot="1" x14ac:dyDescent="0.3">
      <c r="A38" s="47" t="s">
        <v>37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46" t="s">
        <v>64</v>
      </c>
    </row>
    <row r="39" spans="1:14" x14ac:dyDescent="0.25">
      <c r="A39" s="48" t="s">
        <v>23</v>
      </c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2"/>
      <c r="M39" s="46">
        <f>SUM(B39:L39)</f>
        <v>0</v>
      </c>
    </row>
    <row r="40" spans="1:14" x14ac:dyDescent="0.25">
      <c r="A40" s="48" t="s">
        <v>24</v>
      </c>
      <c r="B40" s="9"/>
      <c r="C40" s="2"/>
      <c r="D40" s="2"/>
      <c r="E40" s="2"/>
      <c r="F40" s="2"/>
      <c r="G40" s="2"/>
      <c r="H40" s="2"/>
      <c r="I40" s="2"/>
      <c r="J40" s="2"/>
      <c r="K40" s="2"/>
      <c r="L40" s="13"/>
      <c r="M40" s="46">
        <f t="shared" ref="M40:M48" si="3">SUM(B40:L40)</f>
        <v>0</v>
      </c>
    </row>
    <row r="41" spans="1:14" x14ac:dyDescent="0.25">
      <c r="A41" s="48" t="s">
        <v>25</v>
      </c>
      <c r="B41" s="9"/>
      <c r="C41" s="2"/>
      <c r="D41" s="2"/>
      <c r="E41" s="2"/>
      <c r="F41" s="2"/>
      <c r="G41" s="2"/>
      <c r="H41" s="2"/>
      <c r="I41" s="2"/>
      <c r="J41" s="2"/>
      <c r="K41" s="2"/>
      <c r="L41" s="13"/>
      <c r="M41" s="46">
        <f t="shared" si="3"/>
        <v>0</v>
      </c>
    </row>
    <row r="42" spans="1:14" x14ac:dyDescent="0.25">
      <c r="A42" s="48" t="s">
        <v>26</v>
      </c>
      <c r="B42" s="9"/>
      <c r="C42" s="2"/>
      <c r="D42" s="2"/>
      <c r="E42" s="2"/>
      <c r="F42" s="2"/>
      <c r="G42" s="2"/>
      <c r="H42" s="2"/>
      <c r="I42" s="2"/>
      <c r="J42" s="2"/>
      <c r="K42" s="2"/>
      <c r="L42" s="13"/>
      <c r="M42" s="46">
        <f t="shared" si="3"/>
        <v>0</v>
      </c>
    </row>
    <row r="43" spans="1:14" x14ac:dyDescent="0.25">
      <c r="A43" s="48" t="s">
        <v>75</v>
      </c>
      <c r="B43" s="9"/>
      <c r="C43" s="2"/>
      <c r="D43" s="2"/>
      <c r="E43" s="2"/>
      <c r="F43" s="2"/>
      <c r="G43" s="2"/>
      <c r="H43" s="2"/>
      <c r="I43" s="2"/>
      <c r="J43" s="2"/>
      <c r="K43" s="2"/>
      <c r="L43" s="13"/>
      <c r="M43" s="46">
        <f t="shared" si="3"/>
        <v>0</v>
      </c>
    </row>
    <row r="44" spans="1:14" x14ac:dyDescent="0.25">
      <c r="A44" s="48" t="s">
        <v>27</v>
      </c>
      <c r="B44" s="9"/>
      <c r="C44" s="2"/>
      <c r="D44" s="2"/>
      <c r="E44" s="2"/>
      <c r="F44" s="2"/>
      <c r="G44" s="2"/>
      <c r="H44" s="2"/>
      <c r="I44" s="2"/>
      <c r="J44" s="2"/>
      <c r="K44" s="2"/>
      <c r="L44" s="13"/>
      <c r="M44" s="46">
        <f t="shared" si="3"/>
        <v>0</v>
      </c>
    </row>
    <row r="45" spans="1:14" x14ac:dyDescent="0.25">
      <c r="A45" s="48" t="s">
        <v>47</v>
      </c>
      <c r="B45" s="9"/>
      <c r="C45" s="2"/>
      <c r="D45" s="2"/>
      <c r="E45" s="2"/>
      <c r="F45" s="2"/>
      <c r="G45" s="2"/>
      <c r="H45" s="2"/>
      <c r="I45" s="2"/>
      <c r="J45" s="2"/>
      <c r="K45" s="2"/>
      <c r="L45" s="13"/>
      <c r="M45" s="46">
        <f t="shared" si="3"/>
        <v>0</v>
      </c>
    </row>
    <row r="46" spans="1:14" x14ac:dyDescent="0.25">
      <c r="A46" s="48" t="s">
        <v>28</v>
      </c>
      <c r="B46" s="9">
        <v>1</v>
      </c>
      <c r="C46" s="2"/>
      <c r="D46" s="2"/>
      <c r="E46" s="2"/>
      <c r="F46" s="2"/>
      <c r="G46" s="2"/>
      <c r="H46" s="2"/>
      <c r="I46" s="2"/>
      <c r="J46" s="2"/>
      <c r="K46" s="2"/>
      <c r="L46" s="13"/>
      <c r="M46" s="46">
        <f t="shared" si="3"/>
        <v>1</v>
      </c>
    </row>
    <row r="47" spans="1:14" x14ac:dyDescent="0.25">
      <c r="A47" s="48" t="s">
        <v>30</v>
      </c>
      <c r="B47" s="9"/>
      <c r="C47" s="2"/>
      <c r="D47" s="2"/>
      <c r="E47" s="2"/>
      <c r="F47" s="2"/>
      <c r="G47" s="2"/>
      <c r="H47" s="2"/>
      <c r="I47" s="2"/>
      <c r="J47" s="2"/>
      <c r="K47" s="2"/>
      <c r="L47" s="13"/>
      <c r="M47" s="46">
        <f t="shared" si="3"/>
        <v>0</v>
      </c>
    </row>
    <row r="48" spans="1:14" ht="15.75" thickBot="1" x14ac:dyDescent="0.3">
      <c r="A48" s="48" t="s">
        <v>29</v>
      </c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2"/>
      <c r="M48" s="46">
        <f t="shared" si="3"/>
        <v>0</v>
      </c>
    </row>
    <row r="49" spans="1:13" x14ac:dyDescent="0.25">
      <c r="A49" s="48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46"/>
    </row>
    <row r="50" spans="1:13" ht="15.75" thickBot="1" x14ac:dyDescent="0.3">
      <c r="A50" s="49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0"/>
    </row>
  </sheetData>
  <mergeCells count="14">
    <mergeCell ref="B18:D18"/>
    <mergeCell ref="B19:D19"/>
    <mergeCell ref="E1:G1"/>
    <mergeCell ref="B12:D12"/>
    <mergeCell ref="B13:D13"/>
    <mergeCell ref="B15:D15"/>
    <mergeCell ref="B17:E17"/>
    <mergeCell ref="B3:D3"/>
    <mergeCell ref="B16:D16"/>
    <mergeCell ref="B4:D4"/>
    <mergeCell ref="B7:D7"/>
    <mergeCell ref="B6:D6"/>
    <mergeCell ref="B9:D9"/>
    <mergeCell ref="B10:D10"/>
  </mergeCells>
  <pageMargins left="0.7" right="0.7" top="0.75" bottom="0.75" header="0.3" footer="0.3"/>
  <pageSetup scale="4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6A10-9C3A-4B96-9371-11093FBFD3D7}">
  <sheetPr>
    <pageSetUpPr fitToPage="1"/>
  </sheetPr>
  <dimension ref="A1:N50"/>
  <sheetViews>
    <sheetView showGridLines="0" workbookViewId="0">
      <selection activeCell="B41" sqref="B41"/>
    </sheetView>
  </sheetViews>
  <sheetFormatPr defaultRowHeight="15" x14ac:dyDescent="0.25"/>
  <cols>
    <col min="1" max="1" width="28" bestFit="1" customWidth="1"/>
    <col min="2" max="12" width="12.7109375" customWidth="1"/>
  </cols>
  <sheetData>
    <row r="1" spans="1:7" ht="59.25" customHeight="1" x14ac:dyDescent="0.55000000000000004">
      <c r="A1" s="41" t="s">
        <v>69</v>
      </c>
      <c r="B1" s="37"/>
      <c r="C1" s="37"/>
      <c r="D1" s="37"/>
      <c r="E1" s="120"/>
      <c r="F1" s="120"/>
      <c r="G1" s="120"/>
    </row>
    <row r="2" spans="1:7" x14ac:dyDescent="0.25">
      <c r="A2" s="40" t="s">
        <v>66</v>
      </c>
    </row>
    <row r="3" spans="1:7" x14ac:dyDescent="0.25">
      <c r="A3" s="35" t="s">
        <v>39</v>
      </c>
      <c r="B3" s="125" t="s">
        <v>45</v>
      </c>
      <c r="C3" s="125"/>
      <c r="D3" s="125"/>
    </row>
    <row r="4" spans="1:7" ht="46.5" x14ac:dyDescent="0.7">
      <c r="A4" s="36">
        <f>Sheet1!Y8</f>
        <v>3</v>
      </c>
      <c r="B4" s="127">
        <f>Sheet1!F8</f>
        <v>7</v>
      </c>
      <c r="C4" s="127"/>
      <c r="D4" s="127"/>
      <c r="E4" s="38"/>
    </row>
    <row r="5" spans="1:7" ht="15" customHeight="1" x14ac:dyDescent="0.25"/>
    <row r="6" spans="1:7" x14ac:dyDescent="0.25">
      <c r="A6" s="53" t="s">
        <v>51</v>
      </c>
      <c r="B6" s="129" t="s">
        <v>41</v>
      </c>
      <c r="C6" s="129"/>
      <c r="D6" s="129"/>
    </row>
    <row r="7" spans="1:7" ht="46.5" x14ac:dyDescent="0.7">
      <c r="A7" s="54">
        <f>Sheet1!P8</f>
        <v>0</v>
      </c>
      <c r="B7" s="128">
        <f>IFERROR(Sheet1!D8/Sheet1!B8, 0)</f>
        <v>0</v>
      </c>
      <c r="C7" s="128"/>
      <c r="D7" s="128"/>
      <c r="E7" s="43"/>
    </row>
    <row r="8" spans="1:7" ht="15" customHeight="1" x14ac:dyDescent="0.25">
      <c r="A8" s="43"/>
      <c r="B8" s="43"/>
      <c r="C8" s="43"/>
      <c r="D8" s="43"/>
      <c r="E8" s="43"/>
    </row>
    <row r="9" spans="1:7" x14ac:dyDescent="0.25">
      <c r="A9" s="56" t="s">
        <v>40</v>
      </c>
      <c r="B9" s="130" t="s">
        <v>42</v>
      </c>
      <c r="C9" s="130"/>
      <c r="D9" s="130"/>
      <c r="E9" s="43"/>
    </row>
    <row r="10" spans="1:7" ht="46.5" x14ac:dyDescent="0.7">
      <c r="A10" s="57">
        <f>IFERROR(AVERAGE(Sheet1!B28,Sheet1!E28,Sheet1!H28,Sheet1!K28,Sheet1!N28,Sheet1!Q28,Sheet1!T28,Sheet1!W28,Sheet1!Z28,Sheet1!AC28,Sheet1!AF28), 0)</f>
        <v>3</v>
      </c>
      <c r="B10" s="131">
        <f>IFERROR(AVERAGE(Sheet1!C28,Sheet1!F28,Sheet1!I28,Sheet1!L28,Sheet1!O28,Sheet1!R28,Sheet1!U28,Sheet1!X28,Sheet1!AA28,Sheet1!AD28,Sheet1!AG28), 0)</f>
        <v>20</v>
      </c>
      <c r="C10" s="131"/>
      <c r="D10" s="131"/>
      <c r="E10" s="39"/>
    </row>
    <row r="11" spans="1:7" x14ac:dyDescent="0.25">
      <c r="A11" s="42"/>
      <c r="B11" s="34"/>
      <c r="C11" s="34"/>
      <c r="D11" s="34"/>
      <c r="E11" s="34"/>
    </row>
    <row r="12" spans="1:7" x14ac:dyDescent="0.25">
      <c r="A12" s="58" t="s">
        <v>62</v>
      </c>
      <c r="B12" s="121" t="s">
        <v>63</v>
      </c>
      <c r="C12" s="121"/>
      <c r="D12" s="121"/>
    </row>
    <row r="13" spans="1:7" ht="46.5" x14ac:dyDescent="0.7">
      <c r="A13" s="59">
        <f>AVERAGE(Sheet1!D28,Sheet1!G28,Sheet1!J28,Sheet1!M28,Sheet1!P28,Sheet1!S28,Sheet1!V28,Sheet1!Y28,Sheet1!AB28,Sheet1!AE28)</f>
        <v>0.5</v>
      </c>
      <c r="B13" s="132">
        <f>AVERAGE(B27:L36)</f>
        <v>1</v>
      </c>
      <c r="C13" s="132"/>
      <c r="D13" s="132"/>
    </row>
    <row r="15" spans="1:7" x14ac:dyDescent="0.25">
      <c r="A15" s="60" t="s">
        <v>43</v>
      </c>
      <c r="B15" s="123" t="s">
        <v>44</v>
      </c>
      <c r="C15" s="123"/>
      <c r="D15" s="123"/>
      <c r="E15" s="55"/>
    </row>
    <row r="16" spans="1:7" ht="46.5" customHeight="1" x14ac:dyDescent="0.7">
      <c r="A16" s="77">
        <f>MAX(B23:L23)</f>
        <v>0</v>
      </c>
      <c r="B16" s="126">
        <v>0</v>
      </c>
      <c r="C16" s="126"/>
      <c r="D16" s="126"/>
      <c r="E16" s="38"/>
    </row>
    <row r="17" spans="1:14" x14ac:dyDescent="0.25">
      <c r="B17" s="124"/>
      <c r="C17" s="124"/>
      <c r="D17" s="124"/>
      <c r="E17" s="124"/>
    </row>
    <row r="18" spans="1:14" x14ac:dyDescent="0.25">
      <c r="A18" s="61" t="s">
        <v>38</v>
      </c>
      <c r="B18" s="118" t="s">
        <v>46</v>
      </c>
      <c r="C18" s="118"/>
      <c r="D18" s="118"/>
    </row>
    <row r="19" spans="1:14" ht="46.5" customHeight="1" x14ac:dyDescent="0.35">
      <c r="A19" s="62" t="str">
        <f>INDEX(A27:A36, MATCH(MAX(M27:M36), M27:M36, 0))</f>
        <v>Chris Daly</v>
      </c>
      <c r="B19" s="119" t="str">
        <f>INDEX(A39:A48, MATCH(MAX(M39:M48), M39:M48, 0))</f>
        <v>Luke Daly</v>
      </c>
      <c r="C19" s="119"/>
      <c r="D19" s="119"/>
      <c r="E19" s="38"/>
    </row>
    <row r="20" spans="1:14" ht="15.75" thickBot="1" x14ac:dyDescent="0.3">
      <c r="C20" s="38"/>
      <c r="D20" s="38"/>
      <c r="E20" s="38"/>
    </row>
    <row r="21" spans="1:14" ht="15.75" thickBot="1" x14ac:dyDescent="0.3">
      <c r="A21" s="44" t="s">
        <v>31</v>
      </c>
      <c r="B21" s="66">
        <v>46047</v>
      </c>
      <c r="C21" s="66">
        <v>46074</v>
      </c>
      <c r="D21" s="66">
        <v>46102</v>
      </c>
      <c r="E21" s="66">
        <v>46137</v>
      </c>
      <c r="F21" s="66">
        <v>46165</v>
      </c>
      <c r="G21" s="66">
        <v>46200</v>
      </c>
      <c r="H21" s="66">
        <v>46228</v>
      </c>
      <c r="I21" s="66">
        <v>46256</v>
      </c>
      <c r="J21" s="66">
        <v>46291</v>
      </c>
      <c r="K21" s="66">
        <v>46320</v>
      </c>
      <c r="L21" s="67" t="s">
        <v>67</v>
      </c>
      <c r="M21" s="45"/>
    </row>
    <row r="22" spans="1:14" x14ac:dyDescent="0.25">
      <c r="A22" s="47" t="s">
        <v>68</v>
      </c>
      <c r="B22" s="68">
        <v>20</v>
      </c>
      <c r="C22" s="69"/>
      <c r="D22" s="69"/>
      <c r="E22" s="69"/>
      <c r="F22" s="69"/>
      <c r="G22" s="69"/>
      <c r="H22" s="69"/>
      <c r="I22" s="69"/>
      <c r="J22" s="69"/>
      <c r="K22" s="69"/>
      <c r="L22" s="70"/>
      <c r="M22" s="46"/>
    </row>
    <row r="23" spans="1:14" x14ac:dyDescent="0.25">
      <c r="A23" s="47" t="s">
        <v>4</v>
      </c>
      <c r="B23" s="71">
        <v>0</v>
      </c>
      <c r="C23" s="72"/>
      <c r="D23" s="72"/>
      <c r="E23" s="72"/>
      <c r="F23" s="72"/>
      <c r="G23" s="72"/>
      <c r="H23" s="72"/>
      <c r="I23" s="72"/>
      <c r="J23" s="72"/>
      <c r="K23" s="72"/>
      <c r="L23" s="73"/>
      <c r="M23" s="46"/>
    </row>
    <row r="24" spans="1:14" ht="15.75" thickBot="1" x14ac:dyDescent="0.3">
      <c r="A24" s="47" t="s">
        <v>5</v>
      </c>
      <c r="B24" s="74">
        <v>10</v>
      </c>
      <c r="C24" s="75"/>
      <c r="D24" s="75"/>
      <c r="E24" s="75"/>
      <c r="F24" s="75"/>
      <c r="G24" s="75"/>
      <c r="H24" s="75"/>
      <c r="I24" s="75"/>
      <c r="J24" s="75"/>
      <c r="K24" s="75"/>
      <c r="L24" s="76"/>
      <c r="M24" s="46"/>
    </row>
    <row r="25" spans="1:14" x14ac:dyDescent="0.25">
      <c r="A25" s="80" t="s">
        <v>8</v>
      </c>
      <c r="B25" s="78">
        <f>Sheet1!C28-B22</f>
        <v>0</v>
      </c>
      <c r="C25" s="78">
        <f>Sheet1!F28-C22</f>
        <v>0</v>
      </c>
      <c r="D25" s="78">
        <f>Sheet1!I28-D22</f>
        <v>0</v>
      </c>
      <c r="E25" s="78">
        <f>Sheet1!L28-E22</f>
        <v>0</v>
      </c>
      <c r="F25" s="78">
        <f>Sheet1!O28-F22</f>
        <v>0</v>
      </c>
      <c r="G25" s="78">
        <f>Sheet1!R28-G22</f>
        <v>0</v>
      </c>
      <c r="H25" s="78">
        <f>Sheet1!U28-H22</f>
        <v>0</v>
      </c>
      <c r="I25" s="78">
        <f>Sheet1!X28-I22</f>
        <v>0</v>
      </c>
      <c r="J25" s="78">
        <f>Sheet1!AA28-J22</f>
        <v>0</v>
      </c>
      <c r="K25" s="78">
        <f>Sheet1!AD28-K22</f>
        <v>0</v>
      </c>
      <c r="L25" s="78">
        <f>Sheet1!AG28-L22</f>
        <v>0</v>
      </c>
      <c r="M25" s="46"/>
    </row>
    <row r="26" spans="1:14" ht="15.75" thickBot="1" x14ac:dyDescent="0.3">
      <c r="A26" s="47" t="s">
        <v>36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46" t="s">
        <v>64</v>
      </c>
    </row>
    <row r="27" spans="1:14" x14ac:dyDescent="0.25">
      <c r="A27" s="48" t="s">
        <v>22</v>
      </c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2"/>
      <c r="M27" s="46">
        <f>SUM(B27:L27)</f>
        <v>0</v>
      </c>
      <c r="N27" s="33">
        <f t="shared" ref="N27:N36" si="0">M27-M39</f>
        <v>0</v>
      </c>
    </row>
    <row r="28" spans="1:14" x14ac:dyDescent="0.25">
      <c r="A28" s="48" t="s">
        <v>24</v>
      </c>
      <c r="B28" s="9"/>
      <c r="C28" s="2"/>
      <c r="D28" s="2"/>
      <c r="E28" s="2"/>
      <c r="F28" s="2"/>
      <c r="G28" s="2"/>
      <c r="H28" s="2"/>
      <c r="I28" s="2"/>
      <c r="J28" s="2"/>
      <c r="K28" s="2"/>
      <c r="L28" s="13"/>
      <c r="M28" s="46">
        <f t="shared" ref="M28:M35" si="1">SUM(B28:L28)</f>
        <v>0</v>
      </c>
      <c r="N28" s="33">
        <f t="shared" si="0"/>
        <v>-1</v>
      </c>
    </row>
    <row r="29" spans="1:14" x14ac:dyDescent="0.25">
      <c r="A29" s="48" t="s">
        <v>25</v>
      </c>
      <c r="B29" s="9"/>
      <c r="C29" s="2"/>
      <c r="D29" s="2"/>
      <c r="E29" s="2"/>
      <c r="F29" s="2"/>
      <c r="G29" s="2"/>
      <c r="H29" s="2"/>
      <c r="I29" s="2"/>
      <c r="J29" s="2"/>
      <c r="K29" s="2"/>
      <c r="L29" s="13"/>
      <c r="M29" s="46">
        <f t="shared" si="1"/>
        <v>0</v>
      </c>
      <c r="N29" s="33">
        <f t="shared" si="0"/>
        <v>0</v>
      </c>
    </row>
    <row r="30" spans="1:14" x14ac:dyDescent="0.25">
      <c r="A30" s="48" t="s">
        <v>26</v>
      </c>
      <c r="B30" s="9"/>
      <c r="C30" s="2"/>
      <c r="D30" s="2"/>
      <c r="E30" s="2"/>
      <c r="F30" s="2"/>
      <c r="G30" s="2"/>
      <c r="H30" s="2"/>
      <c r="I30" s="2"/>
      <c r="J30" s="2"/>
      <c r="K30" s="2"/>
      <c r="L30" s="13"/>
      <c r="M30" s="46">
        <f t="shared" si="1"/>
        <v>0</v>
      </c>
      <c r="N30" s="33">
        <f t="shared" si="0"/>
        <v>0</v>
      </c>
    </row>
    <row r="31" spans="1:14" x14ac:dyDescent="0.25">
      <c r="A31" s="48" t="s">
        <v>75</v>
      </c>
      <c r="B31" s="9">
        <v>1</v>
      </c>
      <c r="C31" s="2"/>
      <c r="D31" s="2"/>
      <c r="E31" s="2"/>
      <c r="F31" s="2"/>
      <c r="G31" s="2"/>
      <c r="H31" s="2"/>
      <c r="I31" s="2"/>
      <c r="J31" s="2"/>
      <c r="K31" s="2"/>
      <c r="L31" s="13"/>
      <c r="M31" s="46">
        <f t="shared" si="1"/>
        <v>1</v>
      </c>
      <c r="N31" s="33">
        <f t="shared" si="0"/>
        <v>1</v>
      </c>
    </row>
    <row r="32" spans="1:14" x14ac:dyDescent="0.25">
      <c r="A32" s="48" t="s">
        <v>27</v>
      </c>
      <c r="B32" s="9"/>
      <c r="C32" s="2"/>
      <c r="D32" s="2"/>
      <c r="E32" s="2"/>
      <c r="F32" s="2"/>
      <c r="G32" s="2"/>
      <c r="H32" s="2"/>
      <c r="I32" s="2"/>
      <c r="J32" s="2"/>
      <c r="K32" s="2"/>
      <c r="L32" s="13"/>
      <c r="M32" s="46">
        <f t="shared" si="1"/>
        <v>0</v>
      </c>
      <c r="N32" s="33">
        <f t="shared" si="0"/>
        <v>0</v>
      </c>
    </row>
    <row r="33" spans="1:14" x14ac:dyDescent="0.25">
      <c r="A33" s="48" t="s">
        <v>47</v>
      </c>
      <c r="B33" s="9"/>
      <c r="C33" s="2"/>
      <c r="D33" s="2"/>
      <c r="E33" s="2"/>
      <c r="F33" s="2"/>
      <c r="G33" s="2"/>
      <c r="H33" s="2"/>
      <c r="I33" s="2"/>
      <c r="J33" s="2"/>
      <c r="K33" s="2"/>
      <c r="L33" s="13"/>
      <c r="M33" s="46">
        <f t="shared" si="1"/>
        <v>0</v>
      </c>
      <c r="N33" s="33">
        <f t="shared" si="0"/>
        <v>0</v>
      </c>
    </row>
    <row r="34" spans="1:14" x14ac:dyDescent="0.25">
      <c r="A34" s="48" t="s">
        <v>28</v>
      </c>
      <c r="B34" s="9"/>
      <c r="C34" s="2"/>
      <c r="D34" s="2"/>
      <c r="E34" s="2"/>
      <c r="F34" s="2"/>
      <c r="G34" s="2"/>
      <c r="H34" s="2"/>
      <c r="I34" s="2"/>
      <c r="J34" s="2"/>
      <c r="K34" s="2"/>
      <c r="L34" s="13"/>
      <c r="M34" s="46">
        <f t="shared" si="1"/>
        <v>0</v>
      </c>
      <c r="N34" s="33">
        <f t="shared" si="0"/>
        <v>0</v>
      </c>
    </row>
    <row r="35" spans="1:14" x14ac:dyDescent="0.25">
      <c r="A35" s="48" t="s">
        <v>30</v>
      </c>
      <c r="B35" s="9"/>
      <c r="C35" s="2"/>
      <c r="D35" s="2"/>
      <c r="E35" s="2"/>
      <c r="F35" s="2"/>
      <c r="G35" s="2"/>
      <c r="H35" s="2"/>
      <c r="I35" s="2"/>
      <c r="J35" s="2"/>
      <c r="K35" s="2"/>
      <c r="L35" s="13"/>
      <c r="M35" s="46">
        <f t="shared" si="1"/>
        <v>0</v>
      </c>
      <c r="N35" s="33">
        <f t="shared" si="0"/>
        <v>0</v>
      </c>
    </row>
    <row r="36" spans="1:14" ht="15.75" thickBot="1" x14ac:dyDescent="0.3">
      <c r="A36" s="48" t="s">
        <v>29</v>
      </c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2"/>
      <c r="M36" s="46">
        <f>SUM(B36:L36)</f>
        <v>0</v>
      </c>
      <c r="N36" s="33">
        <f t="shared" si="0"/>
        <v>0</v>
      </c>
    </row>
    <row r="37" spans="1:14" x14ac:dyDescent="0.25">
      <c r="A37" s="48" t="s">
        <v>64</v>
      </c>
      <c r="B37" s="51">
        <f>SUM(B27:B36)</f>
        <v>1</v>
      </c>
      <c r="C37" s="51">
        <f t="shared" ref="C37:L37" si="2">SUM(C27:C36)</f>
        <v>0</v>
      </c>
      <c r="D37" s="51">
        <f t="shared" si="2"/>
        <v>0</v>
      </c>
      <c r="E37" s="51">
        <f t="shared" si="2"/>
        <v>0</v>
      </c>
      <c r="F37" s="51">
        <f t="shared" si="2"/>
        <v>0</v>
      </c>
      <c r="G37" s="51">
        <f t="shared" si="2"/>
        <v>0</v>
      </c>
      <c r="H37" s="51">
        <f t="shared" si="2"/>
        <v>0</v>
      </c>
      <c r="I37" s="51">
        <f t="shared" si="2"/>
        <v>0</v>
      </c>
      <c r="J37" s="51">
        <f t="shared" si="2"/>
        <v>0</v>
      </c>
      <c r="K37" s="51">
        <f t="shared" si="2"/>
        <v>0</v>
      </c>
      <c r="L37" s="51">
        <f t="shared" si="2"/>
        <v>0</v>
      </c>
      <c r="M37" s="46"/>
      <c r="N37" s="33"/>
    </row>
    <row r="38" spans="1:14" ht="15.75" thickBot="1" x14ac:dyDescent="0.3">
      <c r="A38" s="47" t="s">
        <v>37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46" t="s">
        <v>64</v>
      </c>
    </row>
    <row r="39" spans="1:14" x14ac:dyDescent="0.25">
      <c r="A39" s="48" t="s">
        <v>22</v>
      </c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2"/>
      <c r="M39" s="46">
        <f>SUM(B39:L39)</f>
        <v>0</v>
      </c>
    </row>
    <row r="40" spans="1:14" x14ac:dyDescent="0.25">
      <c r="A40" s="48" t="s">
        <v>24</v>
      </c>
      <c r="B40" s="9">
        <v>1</v>
      </c>
      <c r="C40" s="2"/>
      <c r="D40" s="2"/>
      <c r="E40" s="2"/>
      <c r="F40" s="2"/>
      <c r="G40" s="2"/>
      <c r="H40" s="2"/>
      <c r="I40" s="2"/>
      <c r="J40" s="2"/>
      <c r="K40" s="2"/>
      <c r="L40" s="13"/>
      <c r="M40" s="46">
        <f t="shared" ref="M40:M48" si="3">SUM(B40:L40)</f>
        <v>1</v>
      </c>
    </row>
    <row r="41" spans="1:14" x14ac:dyDescent="0.25">
      <c r="A41" s="48" t="s">
        <v>25</v>
      </c>
      <c r="B41" s="9"/>
      <c r="C41" s="2"/>
      <c r="D41" s="2"/>
      <c r="E41" s="2"/>
      <c r="F41" s="2"/>
      <c r="G41" s="2"/>
      <c r="H41" s="2"/>
      <c r="I41" s="2"/>
      <c r="J41" s="2"/>
      <c r="K41" s="2"/>
      <c r="L41" s="13"/>
      <c r="M41" s="46">
        <f t="shared" si="3"/>
        <v>0</v>
      </c>
    </row>
    <row r="42" spans="1:14" x14ac:dyDescent="0.25">
      <c r="A42" s="48" t="s">
        <v>26</v>
      </c>
      <c r="B42" s="9"/>
      <c r="C42" s="2"/>
      <c r="D42" s="2"/>
      <c r="E42" s="2"/>
      <c r="F42" s="2"/>
      <c r="G42" s="2"/>
      <c r="H42" s="2"/>
      <c r="I42" s="2"/>
      <c r="J42" s="2"/>
      <c r="K42" s="2"/>
      <c r="L42" s="13"/>
      <c r="M42" s="46">
        <f t="shared" si="3"/>
        <v>0</v>
      </c>
    </row>
    <row r="43" spans="1:14" x14ac:dyDescent="0.25">
      <c r="A43" s="48" t="s">
        <v>75</v>
      </c>
      <c r="B43" s="9"/>
      <c r="C43" s="2"/>
      <c r="D43" s="2"/>
      <c r="E43" s="2"/>
      <c r="F43" s="2"/>
      <c r="G43" s="2"/>
      <c r="H43" s="2"/>
      <c r="I43" s="2"/>
      <c r="J43" s="2"/>
      <c r="K43" s="2"/>
      <c r="L43" s="13"/>
      <c r="M43" s="46">
        <f t="shared" si="3"/>
        <v>0</v>
      </c>
    </row>
    <row r="44" spans="1:14" x14ac:dyDescent="0.25">
      <c r="A44" s="48" t="s">
        <v>27</v>
      </c>
      <c r="B44" s="9"/>
      <c r="C44" s="2"/>
      <c r="D44" s="2"/>
      <c r="E44" s="2"/>
      <c r="F44" s="2"/>
      <c r="G44" s="2"/>
      <c r="H44" s="2"/>
      <c r="I44" s="2"/>
      <c r="J44" s="2"/>
      <c r="K44" s="2"/>
      <c r="L44" s="13"/>
      <c r="M44" s="46">
        <f t="shared" si="3"/>
        <v>0</v>
      </c>
    </row>
    <row r="45" spans="1:14" x14ac:dyDescent="0.25">
      <c r="A45" s="48" t="s">
        <v>47</v>
      </c>
      <c r="B45" s="9"/>
      <c r="C45" s="2"/>
      <c r="D45" s="2"/>
      <c r="E45" s="2"/>
      <c r="F45" s="2"/>
      <c r="G45" s="2"/>
      <c r="H45" s="2"/>
      <c r="I45" s="2"/>
      <c r="J45" s="2"/>
      <c r="K45" s="2"/>
      <c r="L45" s="13"/>
      <c r="M45" s="46">
        <f t="shared" si="3"/>
        <v>0</v>
      </c>
    </row>
    <row r="46" spans="1:14" x14ac:dyDescent="0.25">
      <c r="A46" s="48" t="s">
        <v>28</v>
      </c>
      <c r="B46" s="9"/>
      <c r="C46" s="2"/>
      <c r="D46" s="2"/>
      <c r="E46" s="2"/>
      <c r="F46" s="2"/>
      <c r="G46" s="2"/>
      <c r="H46" s="2"/>
      <c r="I46" s="2"/>
      <c r="J46" s="2"/>
      <c r="K46" s="2"/>
      <c r="L46" s="13"/>
      <c r="M46" s="46">
        <f t="shared" si="3"/>
        <v>0</v>
      </c>
    </row>
    <row r="47" spans="1:14" x14ac:dyDescent="0.25">
      <c r="A47" s="48" t="s">
        <v>30</v>
      </c>
      <c r="B47" s="9"/>
      <c r="C47" s="2"/>
      <c r="D47" s="2"/>
      <c r="E47" s="2"/>
      <c r="F47" s="2"/>
      <c r="G47" s="2"/>
      <c r="H47" s="2"/>
      <c r="I47" s="2"/>
      <c r="J47" s="2"/>
      <c r="K47" s="2"/>
      <c r="L47" s="13"/>
      <c r="M47" s="46">
        <f t="shared" si="3"/>
        <v>0</v>
      </c>
    </row>
    <row r="48" spans="1:14" ht="15.75" thickBot="1" x14ac:dyDescent="0.3">
      <c r="A48" s="48" t="s">
        <v>29</v>
      </c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2"/>
      <c r="M48" s="46">
        <f t="shared" si="3"/>
        <v>0</v>
      </c>
    </row>
    <row r="49" spans="1:13" x14ac:dyDescent="0.25">
      <c r="A49" s="48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46"/>
    </row>
    <row r="50" spans="1:13" ht="15.75" thickBot="1" x14ac:dyDescent="0.3">
      <c r="A50" s="49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0"/>
    </row>
  </sheetData>
  <mergeCells count="14">
    <mergeCell ref="B18:D18"/>
    <mergeCell ref="B19:D19"/>
    <mergeCell ref="B10:D10"/>
    <mergeCell ref="B12:D12"/>
    <mergeCell ref="B13:D13"/>
    <mergeCell ref="B15:D15"/>
    <mergeCell ref="B16:D16"/>
    <mergeCell ref="B17:E17"/>
    <mergeCell ref="B9:D9"/>
    <mergeCell ref="E1:G1"/>
    <mergeCell ref="B3:D3"/>
    <mergeCell ref="B4:D4"/>
    <mergeCell ref="B6:D6"/>
    <mergeCell ref="B7:D7"/>
  </mergeCells>
  <pageMargins left="0.7" right="0.7" top="0.75" bottom="0.75" header="0.3" footer="0.3"/>
  <pageSetup scale="4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7C36E-2303-4C96-830F-67DCFD7FE5D7}">
  <sheetPr>
    <pageSetUpPr fitToPage="1"/>
  </sheetPr>
  <dimension ref="A1:N50"/>
  <sheetViews>
    <sheetView showGridLines="0" workbookViewId="0">
      <selection activeCell="B47" sqref="B47"/>
    </sheetView>
  </sheetViews>
  <sheetFormatPr defaultRowHeight="15" x14ac:dyDescent="0.25"/>
  <cols>
    <col min="1" max="1" width="28" bestFit="1" customWidth="1"/>
    <col min="2" max="12" width="12.7109375" customWidth="1"/>
  </cols>
  <sheetData>
    <row r="1" spans="1:7" ht="59.25" customHeight="1" x14ac:dyDescent="0.55000000000000004">
      <c r="A1" s="41" t="s">
        <v>70</v>
      </c>
      <c r="B1" s="37"/>
      <c r="C1" s="37"/>
      <c r="D1" s="37"/>
      <c r="E1" s="120"/>
      <c r="F1" s="120"/>
      <c r="G1" s="120"/>
    </row>
    <row r="2" spans="1:7" x14ac:dyDescent="0.25">
      <c r="A2" s="40" t="s">
        <v>66</v>
      </c>
    </row>
    <row r="3" spans="1:7" x14ac:dyDescent="0.25">
      <c r="A3" s="35" t="s">
        <v>39</v>
      </c>
      <c r="B3" s="125" t="s">
        <v>45</v>
      </c>
      <c r="C3" s="125"/>
      <c r="D3" s="125"/>
    </row>
    <row r="4" spans="1:7" ht="46.5" x14ac:dyDescent="0.7">
      <c r="A4" s="36">
        <f>Sheet1!Y9</f>
        <v>2</v>
      </c>
      <c r="B4" s="127">
        <f>Sheet1!F9</f>
        <v>11</v>
      </c>
      <c r="C4" s="127"/>
      <c r="D4" s="127"/>
      <c r="E4" s="38"/>
    </row>
    <row r="5" spans="1:7" ht="15" customHeight="1" x14ac:dyDescent="0.25"/>
    <row r="6" spans="1:7" x14ac:dyDescent="0.25">
      <c r="A6" s="53" t="s">
        <v>51</v>
      </c>
      <c r="B6" s="129" t="s">
        <v>41</v>
      </c>
      <c r="C6" s="129"/>
      <c r="D6" s="129"/>
    </row>
    <row r="7" spans="1:7" ht="46.5" x14ac:dyDescent="0.7">
      <c r="A7" s="54">
        <f>Sheet1!P9</f>
        <v>30</v>
      </c>
      <c r="B7" s="128">
        <f>IFERROR(Sheet1!D9/Sheet1!B9, 0)</f>
        <v>0</v>
      </c>
      <c r="C7" s="128"/>
      <c r="D7" s="128"/>
      <c r="E7" s="43"/>
    </row>
    <row r="8" spans="1:7" ht="15" customHeight="1" x14ac:dyDescent="0.25">
      <c r="A8" s="43"/>
      <c r="B8" s="43"/>
      <c r="C8" s="43"/>
      <c r="D8" s="43"/>
      <c r="E8" s="43"/>
    </row>
    <row r="9" spans="1:7" x14ac:dyDescent="0.25">
      <c r="A9" s="56" t="s">
        <v>40</v>
      </c>
      <c r="B9" s="130" t="s">
        <v>42</v>
      </c>
      <c r="C9" s="130"/>
      <c r="D9" s="130"/>
      <c r="E9" s="43"/>
    </row>
    <row r="10" spans="1:7" ht="46.5" x14ac:dyDescent="0.7">
      <c r="A10" s="57">
        <f>IFERROR(AVERAGE(Sheet1!B29,Sheet1!E29,Sheet1!H29,Sheet1!K29,Sheet1!N29,Sheet1!Q29,Sheet1!T29,Sheet1!W29,Sheet1!Z29,Sheet1!AC29,Sheet1!AF29), 0)</f>
        <v>2</v>
      </c>
      <c r="B10" s="131">
        <f>IFERROR(AVERAGE(Sheet1!C29,Sheet1!F29,Sheet1!I29,Sheet1!L29,Sheet1!O29,Sheet1!R29,Sheet1!U29,Sheet1!X29,Sheet1!AA29,Sheet1!AD29,Sheet1!AG29), 0)</f>
        <v>50</v>
      </c>
      <c r="C10" s="131"/>
      <c r="D10" s="131"/>
      <c r="E10" s="39"/>
    </row>
    <row r="11" spans="1:7" x14ac:dyDescent="0.25">
      <c r="A11" s="42"/>
      <c r="B11" s="34"/>
      <c r="C11" s="34"/>
      <c r="D11" s="34"/>
      <c r="E11" s="34"/>
    </row>
    <row r="12" spans="1:7" x14ac:dyDescent="0.25">
      <c r="A12" s="58" t="s">
        <v>62</v>
      </c>
      <c r="B12" s="121" t="s">
        <v>63</v>
      </c>
      <c r="C12" s="121"/>
      <c r="D12" s="121"/>
    </row>
    <row r="13" spans="1:7" ht="46.5" x14ac:dyDescent="0.7">
      <c r="A13" s="59">
        <f>AVERAGE(Sheet1!D29,Sheet1!G29,Sheet1!J29,Sheet1!M29,Sheet1!P29,Sheet1!S29,Sheet1!V29,Sheet1!Y29,Sheet1!AB29,Sheet1!AE29)</f>
        <v>0.7</v>
      </c>
      <c r="B13" s="132">
        <f>AVERAGE(B27:L36)</f>
        <v>1</v>
      </c>
      <c r="C13" s="132"/>
      <c r="D13" s="132"/>
    </row>
    <row r="15" spans="1:7" x14ac:dyDescent="0.25">
      <c r="A15" s="60" t="s">
        <v>43</v>
      </c>
      <c r="B15" s="123" t="s">
        <v>44</v>
      </c>
      <c r="C15" s="123"/>
      <c r="D15" s="123"/>
      <c r="E15" s="55"/>
    </row>
    <row r="16" spans="1:7" ht="46.5" customHeight="1" x14ac:dyDescent="0.7">
      <c r="A16" s="77">
        <f>MAX(B23:L23)</f>
        <v>0</v>
      </c>
      <c r="B16" s="126">
        <v>0</v>
      </c>
      <c r="C16" s="126"/>
      <c r="D16" s="126"/>
      <c r="E16" s="38"/>
    </row>
    <row r="17" spans="1:14" x14ac:dyDescent="0.25">
      <c r="B17" s="124"/>
      <c r="C17" s="124"/>
      <c r="D17" s="124"/>
      <c r="E17" s="124"/>
    </row>
    <row r="18" spans="1:14" x14ac:dyDescent="0.25">
      <c r="A18" s="61" t="s">
        <v>38</v>
      </c>
      <c r="B18" s="118" t="s">
        <v>46</v>
      </c>
      <c r="C18" s="118"/>
      <c r="D18" s="118"/>
    </row>
    <row r="19" spans="1:14" ht="46.5" customHeight="1" x14ac:dyDescent="0.35">
      <c r="A19" s="62" t="str">
        <f>INDEX(A27:A36, MATCH(MAX(M27:M36), M27:M36, 0))</f>
        <v>Georgina Wearing</v>
      </c>
      <c r="B19" s="119" t="str">
        <f>INDEX(A39:A48, MATCH(MAX(M39:M48), M39:M48, 0))</f>
        <v>Liam Duxbury</v>
      </c>
      <c r="C19" s="119"/>
      <c r="D19" s="119"/>
      <c r="E19" s="38"/>
    </row>
    <row r="20" spans="1:14" ht="15.75" thickBot="1" x14ac:dyDescent="0.3">
      <c r="C20" s="38"/>
      <c r="D20" s="38"/>
      <c r="E20" s="38"/>
    </row>
    <row r="21" spans="1:14" ht="15.75" thickBot="1" x14ac:dyDescent="0.3">
      <c r="A21" s="44" t="s">
        <v>31</v>
      </c>
      <c r="B21" s="66">
        <v>46048</v>
      </c>
      <c r="C21" s="66">
        <v>46074</v>
      </c>
      <c r="D21" s="66">
        <v>46102</v>
      </c>
      <c r="E21" s="66">
        <v>46138</v>
      </c>
      <c r="F21" s="66">
        <v>46165</v>
      </c>
      <c r="G21" s="66">
        <v>46200</v>
      </c>
      <c r="H21" s="66">
        <v>46229</v>
      </c>
      <c r="I21" s="66">
        <v>46256</v>
      </c>
      <c r="J21" s="66">
        <v>46291</v>
      </c>
      <c r="K21" s="66">
        <v>46321</v>
      </c>
      <c r="L21" s="67" t="s">
        <v>67</v>
      </c>
      <c r="M21" s="45"/>
    </row>
    <row r="22" spans="1:14" x14ac:dyDescent="0.25">
      <c r="A22" s="47" t="s">
        <v>68</v>
      </c>
      <c r="B22" s="68">
        <v>20</v>
      </c>
      <c r="C22" s="69"/>
      <c r="D22" s="69"/>
      <c r="E22" s="69"/>
      <c r="F22" s="69"/>
      <c r="G22" s="69"/>
      <c r="H22" s="69"/>
      <c r="I22" s="69"/>
      <c r="J22" s="69"/>
      <c r="K22" s="69"/>
      <c r="L22" s="70"/>
      <c r="M22" s="46"/>
    </row>
    <row r="23" spans="1:14" x14ac:dyDescent="0.25">
      <c r="A23" s="47" t="s">
        <v>4</v>
      </c>
      <c r="B23" s="71">
        <v>0</v>
      </c>
      <c r="C23" s="72"/>
      <c r="D23" s="72"/>
      <c r="E23" s="72"/>
      <c r="F23" s="72"/>
      <c r="G23" s="72"/>
      <c r="H23" s="72"/>
      <c r="I23" s="72"/>
      <c r="J23" s="72"/>
      <c r="K23" s="72"/>
      <c r="L23" s="73"/>
      <c r="M23" s="46"/>
    </row>
    <row r="24" spans="1:14" ht="15.75" thickBot="1" x14ac:dyDescent="0.3">
      <c r="A24" s="47" t="s">
        <v>5</v>
      </c>
      <c r="B24" s="74">
        <v>10</v>
      </c>
      <c r="C24" s="75"/>
      <c r="D24" s="75"/>
      <c r="E24" s="75"/>
      <c r="F24" s="75"/>
      <c r="G24" s="75"/>
      <c r="H24" s="75"/>
      <c r="I24" s="75"/>
      <c r="J24" s="75"/>
      <c r="K24" s="75"/>
      <c r="L24" s="76"/>
      <c r="M24" s="46"/>
    </row>
    <row r="25" spans="1:14" x14ac:dyDescent="0.25">
      <c r="A25" s="80" t="s">
        <v>8</v>
      </c>
      <c r="B25" s="78">
        <f>Sheet1!C29-B22</f>
        <v>30</v>
      </c>
      <c r="C25" s="78">
        <f>Sheet1!F29-C22</f>
        <v>0</v>
      </c>
      <c r="D25" s="78">
        <f>Sheet1!I29-D22</f>
        <v>0</v>
      </c>
      <c r="E25" s="78">
        <f>Sheet1!L29-E22</f>
        <v>0</v>
      </c>
      <c r="F25" s="78">
        <f>Sheet1!O29-F22</f>
        <v>0</v>
      </c>
      <c r="G25" s="78">
        <f>Sheet1!R29-G22</f>
        <v>0</v>
      </c>
      <c r="H25" s="78">
        <f>Sheet1!U29-H22</f>
        <v>0</v>
      </c>
      <c r="I25" s="78">
        <f>Sheet1!X29-I22</f>
        <v>0</v>
      </c>
      <c r="J25" s="78">
        <f>Sheet1!AA29-J22</f>
        <v>0</v>
      </c>
      <c r="K25" s="78">
        <f>Sheet1!AD29-K22</f>
        <v>0</v>
      </c>
      <c r="L25" s="78">
        <f>Sheet1!AG29-L22</f>
        <v>0</v>
      </c>
      <c r="M25" s="46"/>
    </row>
    <row r="26" spans="1:14" ht="15.75" thickBot="1" x14ac:dyDescent="0.3">
      <c r="A26" s="47" t="s">
        <v>36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46" t="s">
        <v>64</v>
      </c>
    </row>
    <row r="27" spans="1:14" x14ac:dyDescent="0.25">
      <c r="A27" s="48" t="s">
        <v>22</v>
      </c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2"/>
      <c r="M27" s="46">
        <f>SUM(B27:L27)</f>
        <v>0</v>
      </c>
      <c r="N27" s="33">
        <f t="shared" ref="N27:N36" si="0">M27-M39</f>
        <v>0</v>
      </c>
    </row>
    <row r="28" spans="1:14" x14ac:dyDescent="0.25">
      <c r="A28" s="48" t="s">
        <v>23</v>
      </c>
      <c r="B28" s="9">
        <v>1</v>
      </c>
      <c r="C28" s="2"/>
      <c r="D28" s="2"/>
      <c r="E28" s="2"/>
      <c r="F28" s="2"/>
      <c r="G28" s="2"/>
      <c r="H28" s="2"/>
      <c r="I28" s="2"/>
      <c r="J28" s="2"/>
      <c r="K28" s="2"/>
      <c r="L28" s="13"/>
      <c r="M28" s="46">
        <f t="shared" ref="M28:M35" si="1">SUM(B28:L28)</f>
        <v>1</v>
      </c>
      <c r="N28" s="33">
        <f t="shared" si="0"/>
        <v>1</v>
      </c>
    </row>
    <row r="29" spans="1:14" x14ac:dyDescent="0.25">
      <c r="A29" s="48" t="s">
        <v>25</v>
      </c>
      <c r="B29" s="9"/>
      <c r="C29" s="2"/>
      <c r="D29" s="2"/>
      <c r="E29" s="2"/>
      <c r="F29" s="2"/>
      <c r="G29" s="2"/>
      <c r="H29" s="2"/>
      <c r="I29" s="2"/>
      <c r="J29" s="2"/>
      <c r="K29" s="2"/>
      <c r="L29" s="13"/>
      <c r="M29" s="46">
        <f t="shared" si="1"/>
        <v>0</v>
      </c>
      <c r="N29" s="33">
        <f t="shared" si="0"/>
        <v>0</v>
      </c>
    </row>
    <row r="30" spans="1:14" x14ac:dyDescent="0.25">
      <c r="A30" s="48" t="s">
        <v>26</v>
      </c>
      <c r="B30" s="9"/>
      <c r="C30" s="2"/>
      <c r="D30" s="2"/>
      <c r="E30" s="2"/>
      <c r="F30" s="2"/>
      <c r="G30" s="2"/>
      <c r="H30" s="2"/>
      <c r="I30" s="2"/>
      <c r="J30" s="2"/>
      <c r="K30" s="2"/>
      <c r="L30" s="13"/>
      <c r="M30" s="46">
        <f t="shared" si="1"/>
        <v>0</v>
      </c>
      <c r="N30" s="33">
        <f t="shared" si="0"/>
        <v>0</v>
      </c>
    </row>
    <row r="31" spans="1:14" x14ac:dyDescent="0.25">
      <c r="A31" s="48" t="s">
        <v>75</v>
      </c>
      <c r="B31" s="9"/>
      <c r="C31" s="2"/>
      <c r="D31" s="2"/>
      <c r="E31" s="2"/>
      <c r="F31" s="2"/>
      <c r="G31" s="2"/>
      <c r="H31" s="2"/>
      <c r="I31" s="2"/>
      <c r="J31" s="2"/>
      <c r="K31" s="2"/>
      <c r="L31" s="13"/>
      <c r="M31" s="46">
        <f t="shared" si="1"/>
        <v>0</v>
      </c>
      <c r="N31" s="33">
        <f t="shared" si="0"/>
        <v>0</v>
      </c>
    </row>
    <row r="32" spans="1:14" x14ac:dyDescent="0.25">
      <c r="A32" s="48" t="s">
        <v>27</v>
      </c>
      <c r="B32" s="9"/>
      <c r="C32" s="2"/>
      <c r="D32" s="2"/>
      <c r="E32" s="2"/>
      <c r="F32" s="2"/>
      <c r="G32" s="2"/>
      <c r="H32" s="2"/>
      <c r="I32" s="2"/>
      <c r="J32" s="2"/>
      <c r="K32" s="2"/>
      <c r="L32" s="13"/>
      <c r="M32" s="46">
        <f t="shared" si="1"/>
        <v>0</v>
      </c>
      <c r="N32" s="33">
        <f t="shared" si="0"/>
        <v>0</v>
      </c>
    </row>
    <row r="33" spans="1:14" x14ac:dyDescent="0.25">
      <c r="A33" s="48" t="s">
        <v>47</v>
      </c>
      <c r="B33" s="9"/>
      <c r="C33" s="2"/>
      <c r="D33" s="2"/>
      <c r="E33" s="2"/>
      <c r="F33" s="2"/>
      <c r="G33" s="2"/>
      <c r="H33" s="2"/>
      <c r="I33" s="2"/>
      <c r="J33" s="2"/>
      <c r="K33" s="2"/>
      <c r="L33" s="13"/>
      <c r="M33" s="46">
        <f t="shared" si="1"/>
        <v>0</v>
      </c>
      <c r="N33" s="33">
        <f t="shared" si="0"/>
        <v>0</v>
      </c>
    </row>
    <row r="34" spans="1:14" x14ac:dyDescent="0.25">
      <c r="A34" s="48" t="s">
        <v>28</v>
      </c>
      <c r="B34" s="9">
        <v>1</v>
      </c>
      <c r="C34" s="2"/>
      <c r="D34" s="2"/>
      <c r="E34" s="2"/>
      <c r="F34" s="2"/>
      <c r="G34" s="2"/>
      <c r="H34" s="2"/>
      <c r="I34" s="2"/>
      <c r="J34" s="2"/>
      <c r="K34" s="2"/>
      <c r="L34" s="13"/>
      <c r="M34" s="46">
        <f t="shared" si="1"/>
        <v>1</v>
      </c>
      <c r="N34" s="33">
        <f t="shared" si="0"/>
        <v>0</v>
      </c>
    </row>
    <row r="35" spans="1:14" x14ac:dyDescent="0.25">
      <c r="A35" s="48" t="s">
        <v>30</v>
      </c>
      <c r="B35" s="9">
        <v>1</v>
      </c>
      <c r="C35" s="2"/>
      <c r="D35" s="2"/>
      <c r="E35" s="2"/>
      <c r="F35" s="2"/>
      <c r="G35" s="2"/>
      <c r="H35" s="2"/>
      <c r="I35" s="2"/>
      <c r="J35" s="2"/>
      <c r="K35" s="2"/>
      <c r="L35" s="13"/>
      <c r="M35" s="46">
        <f t="shared" si="1"/>
        <v>1</v>
      </c>
      <c r="N35" s="33">
        <f t="shared" si="0"/>
        <v>1</v>
      </c>
    </row>
    <row r="36" spans="1:14" ht="15.75" thickBot="1" x14ac:dyDescent="0.3">
      <c r="A36" s="48" t="s">
        <v>29</v>
      </c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2"/>
      <c r="M36" s="46">
        <f>SUM(B36:L36)</f>
        <v>0</v>
      </c>
      <c r="N36" s="33">
        <f t="shared" si="0"/>
        <v>0</v>
      </c>
    </row>
    <row r="37" spans="1:14" x14ac:dyDescent="0.25">
      <c r="A37" s="48" t="s">
        <v>64</v>
      </c>
      <c r="B37" s="51">
        <f>SUM(B27:B36)</f>
        <v>3</v>
      </c>
      <c r="C37" s="51">
        <f t="shared" ref="C37:L37" si="2">SUM(C27:C36)</f>
        <v>0</v>
      </c>
      <c r="D37" s="51">
        <f t="shared" si="2"/>
        <v>0</v>
      </c>
      <c r="E37" s="51">
        <f t="shared" si="2"/>
        <v>0</v>
      </c>
      <c r="F37" s="51">
        <f t="shared" si="2"/>
        <v>0</v>
      </c>
      <c r="G37" s="51">
        <f t="shared" si="2"/>
        <v>0</v>
      </c>
      <c r="H37" s="51">
        <f t="shared" si="2"/>
        <v>0</v>
      </c>
      <c r="I37" s="51">
        <f t="shared" si="2"/>
        <v>0</v>
      </c>
      <c r="J37" s="51">
        <f t="shared" si="2"/>
        <v>0</v>
      </c>
      <c r="K37" s="51">
        <f t="shared" si="2"/>
        <v>0</v>
      </c>
      <c r="L37" s="51">
        <f t="shared" si="2"/>
        <v>0</v>
      </c>
      <c r="M37" s="46"/>
      <c r="N37" s="33"/>
    </row>
    <row r="38" spans="1:14" ht="15.75" thickBot="1" x14ac:dyDescent="0.3">
      <c r="A38" s="47" t="s">
        <v>37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46" t="s">
        <v>64</v>
      </c>
    </row>
    <row r="39" spans="1:14" x14ac:dyDescent="0.25">
      <c r="A39" s="48" t="s">
        <v>22</v>
      </c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2"/>
      <c r="M39" s="46">
        <f>SUM(B39:L39)</f>
        <v>0</v>
      </c>
    </row>
    <row r="40" spans="1:14" x14ac:dyDescent="0.25">
      <c r="A40" s="48" t="s">
        <v>23</v>
      </c>
      <c r="B40" s="9"/>
      <c r="C40" s="2"/>
      <c r="D40" s="2"/>
      <c r="E40" s="2"/>
      <c r="F40" s="2"/>
      <c r="G40" s="2"/>
      <c r="H40" s="2"/>
      <c r="I40" s="2"/>
      <c r="J40" s="2"/>
      <c r="K40" s="2"/>
      <c r="L40" s="13"/>
      <c r="M40" s="46">
        <f t="shared" ref="M40:M48" si="3">SUM(B40:L40)</f>
        <v>0</v>
      </c>
    </row>
    <row r="41" spans="1:14" x14ac:dyDescent="0.25">
      <c r="A41" s="48" t="s">
        <v>25</v>
      </c>
      <c r="B41" s="9"/>
      <c r="C41" s="2"/>
      <c r="D41" s="2"/>
      <c r="E41" s="2"/>
      <c r="F41" s="2"/>
      <c r="G41" s="2"/>
      <c r="H41" s="2"/>
      <c r="I41" s="2"/>
      <c r="J41" s="2"/>
      <c r="K41" s="2"/>
      <c r="L41" s="13"/>
      <c r="M41" s="46">
        <f t="shared" si="3"/>
        <v>0</v>
      </c>
    </row>
    <row r="42" spans="1:14" x14ac:dyDescent="0.25">
      <c r="A42" s="48" t="s">
        <v>26</v>
      </c>
      <c r="B42" s="9"/>
      <c r="C42" s="2"/>
      <c r="D42" s="2"/>
      <c r="E42" s="2"/>
      <c r="F42" s="2"/>
      <c r="G42" s="2"/>
      <c r="H42" s="2"/>
      <c r="I42" s="2"/>
      <c r="J42" s="2"/>
      <c r="K42" s="2"/>
      <c r="L42" s="13"/>
      <c r="M42" s="46">
        <f t="shared" si="3"/>
        <v>0</v>
      </c>
    </row>
    <row r="43" spans="1:14" x14ac:dyDescent="0.25">
      <c r="A43" s="48" t="s">
        <v>75</v>
      </c>
      <c r="B43" s="9"/>
      <c r="C43" s="2"/>
      <c r="D43" s="2"/>
      <c r="E43" s="2"/>
      <c r="F43" s="2"/>
      <c r="G43" s="2"/>
      <c r="H43" s="2"/>
      <c r="I43" s="2"/>
      <c r="J43" s="2"/>
      <c r="K43" s="2"/>
      <c r="L43" s="13"/>
      <c r="M43" s="46">
        <f t="shared" si="3"/>
        <v>0</v>
      </c>
    </row>
    <row r="44" spans="1:14" x14ac:dyDescent="0.25">
      <c r="A44" s="48" t="s">
        <v>27</v>
      </c>
      <c r="B44" s="9"/>
      <c r="C44" s="2"/>
      <c r="D44" s="2"/>
      <c r="E44" s="2"/>
      <c r="F44" s="2"/>
      <c r="G44" s="2"/>
      <c r="H44" s="2"/>
      <c r="I44" s="2"/>
      <c r="J44" s="2"/>
      <c r="K44" s="2"/>
      <c r="L44" s="13"/>
      <c r="M44" s="46">
        <f t="shared" si="3"/>
        <v>0</v>
      </c>
    </row>
    <row r="45" spans="1:14" x14ac:dyDescent="0.25">
      <c r="A45" s="48" t="s">
        <v>47</v>
      </c>
      <c r="B45" s="9"/>
      <c r="C45" s="2"/>
      <c r="D45" s="2"/>
      <c r="E45" s="2"/>
      <c r="F45" s="2"/>
      <c r="G45" s="2"/>
      <c r="H45" s="2"/>
      <c r="I45" s="2"/>
      <c r="J45" s="2"/>
      <c r="K45" s="2"/>
      <c r="L45" s="13"/>
      <c r="M45" s="46">
        <f t="shared" si="3"/>
        <v>0</v>
      </c>
    </row>
    <row r="46" spans="1:14" x14ac:dyDescent="0.25">
      <c r="A46" s="48" t="s">
        <v>28</v>
      </c>
      <c r="B46" s="9">
        <v>1</v>
      </c>
      <c r="C46" s="2"/>
      <c r="D46" s="2"/>
      <c r="E46" s="2"/>
      <c r="F46" s="2"/>
      <c r="G46" s="2"/>
      <c r="H46" s="2"/>
      <c r="I46" s="2"/>
      <c r="J46" s="2"/>
      <c r="K46" s="2"/>
      <c r="L46" s="13"/>
      <c r="M46" s="46">
        <f t="shared" si="3"/>
        <v>1</v>
      </c>
    </row>
    <row r="47" spans="1:14" x14ac:dyDescent="0.25">
      <c r="A47" s="48" t="s">
        <v>30</v>
      </c>
      <c r="B47" s="9"/>
      <c r="C47" s="2"/>
      <c r="D47" s="2"/>
      <c r="E47" s="2"/>
      <c r="F47" s="2"/>
      <c r="G47" s="2"/>
      <c r="H47" s="2"/>
      <c r="I47" s="2"/>
      <c r="J47" s="2"/>
      <c r="K47" s="2"/>
      <c r="L47" s="13"/>
      <c r="M47" s="46">
        <f t="shared" si="3"/>
        <v>0</v>
      </c>
    </row>
    <row r="48" spans="1:14" ht="15.75" thickBot="1" x14ac:dyDescent="0.3">
      <c r="A48" s="48" t="s">
        <v>29</v>
      </c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2"/>
      <c r="M48" s="46">
        <f t="shared" si="3"/>
        <v>0</v>
      </c>
    </row>
    <row r="49" spans="1:13" x14ac:dyDescent="0.25">
      <c r="A49" s="48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46"/>
    </row>
    <row r="50" spans="1:13" ht="15.75" thickBot="1" x14ac:dyDescent="0.3">
      <c r="A50" s="49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0"/>
    </row>
  </sheetData>
  <mergeCells count="14">
    <mergeCell ref="B18:D18"/>
    <mergeCell ref="B19:D19"/>
    <mergeCell ref="B10:D10"/>
    <mergeCell ref="B12:D12"/>
    <mergeCell ref="B13:D13"/>
    <mergeCell ref="B15:D15"/>
    <mergeCell ref="B16:D16"/>
    <mergeCell ref="B17:E17"/>
    <mergeCell ref="B9:D9"/>
    <mergeCell ref="E1:G1"/>
    <mergeCell ref="B3:D3"/>
    <mergeCell ref="B4:D4"/>
    <mergeCell ref="B6:D6"/>
    <mergeCell ref="B7:D7"/>
  </mergeCells>
  <pageMargins left="0.7" right="0.7" top="0.75" bottom="0.75" header="0.3" footer="0.3"/>
  <pageSetup scale="4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27149-E96C-493C-AD20-A1F67BD57D6C}">
  <sheetPr>
    <pageSetUpPr fitToPage="1"/>
  </sheetPr>
  <dimension ref="A1:N50"/>
  <sheetViews>
    <sheetView showGridLines="0" workbookViewId="0">
      <selection activeCell="A13" sqref="A13"/>
    </sheetView>
  </sheetViews>
  <sheetFormatPr defaultRowHeight="15" x14ac:dyDescent="0.25"/>
  <cols>
    <col min="1" max="1" width="28" bestFit="1" customWidth="1"/>
    <col min="2" max="12" width="12.7109375" customWidth="1"/>
  </cols>
  <sheetData>
    <row r="1" spans="1:7" ht="59.25" customHeight="1" x14ac:dyDescent="0.55000000000000004">
      <c r="A1" s="41" t="s">
        <v>71</v>
      </c>
      <c r="B1" s="37"/>
      <c r="C1" s="37"/>
      <c r="D1" s="37"/>
      <c r="E1" s="120"/>
      <c r="F1" s="120"/>
      <c r="G1" s="120"/>
    </row>
    <row r="2" spans="1:7" x14ac:dyDescent="0.25">
      <c r="A2" s="40" t="s">
        <v>72</v>
      </c>
    </row>
    <row r="3" spans="1:7" x14ac:dyDescent="0.25">
      <c r="A3" s="35" t="s">
        <v>39</v>
      </c>
      <c r="B3" s="125" t="s">
        <v>45</v>
      </c>
      <c r="C3" s="125"/>
      <c r="D3" s="125"/>
    </row>
    <row r="4" spans="1:7" ht="46.5" x14ac:dyDescent="0.7">
      <c r="A4" s="36">
        <f>Sheet1!Y10</f>
        <v>6</v>
      </c>
      <c r="B4" s="127">
        <f>Sheet1!F10</f>
        <v>1</v>
      </c>
      <c r="C4" s="127"/>
      <c r="D4" s="127"/>
      <c r="E4" s="38"/>
    </row>
    <row r="5" spans="1:7" ht="15" customHeight="1" x14ac:dyDescent="0.25"/>
    <row r="6" spans="1:7" x14ac:dyDescent="0.25">
      <c r="A6" s="53" t="s">
        <v>51</v>
      </c>
      <c r="B6" s="129" t="s">
        <v>41</v>
      </c>
      <c r="C6" s="129"/>
      <c r="D6" s="129"/>
    </row>
    <row r="7" spans="1:7" ht="46.5" x14ac:dyDescent="0.7">
      <c r="A7" s="54">
        <f>Sheet1!P10</f>
        <v>-20</v>
      </c>
      <c r="B7" s="128">
        <f>IFERROR(Sheet1!D10/Sheet1!B10, 0)</f>
        <v>0</v>
      </c>
      <c r="C7" s="128"/>
      <c r="D7" s="128"/>
      <c r="E7" s="43"/>
    </row>
    <row r="8" spans="1:7" ht="15" customHeight="1" x14ac:dyDescent="0.25">
      <c r="A8" s="43"/>
      <c r="B8" s="43"/>
      <c r="C8" s="43"/>
      <c r="D8" s="43"/>
      <c r="E8" s="43"/>
    </row>
    <row r="9" spans="1:7" x14ac:dyDescent="0.25">
      <c r="A9" s="56" t="s">
        <v>40</v>
      </c>
      <c r="B9" s="130" t="s">
        <v>42</v>
      </c>
      <c r="C9" s="130"/>
      <c r="D9" s="130"/>
      <c r="E9" s="43"/>
    </row>
    <row r="10" spans="1:7" ht="46.5" x14ac:dyDescent="0.7">
      <c r="A10" s="57">
        <f>IFERROR(AVERAGE(Sheet1!B30,Sheet1!E30,Sheet1!H30,Sheet1!K30,Sheet1!N30,Sheet1!Q30,Sheet1!T30,Sheet1!W30,Sheet1!Z30,Sheet1!AC30,Sheet1!AF30), 0)</f>
        <v>9</v>
      </c>
      <c r="B10" s="131">
        <f>IFERROR(AVERAGE(Sheet1!C30,Sheet1!F30,Sheet1!I30,Sheet1!L30,Sheet1!O30,Sheet1!R30,Sheet1!U30,Sheet1!X30,Sheet1!AA30,Sheet1!AD30,Sheet1!AG30), 0)</f>
        <v>0</v>
      </c>
      <c r="C10" s="131"/>
      <c r="D10" s="131"/>
      <c r="E10" s="39"/>
    </row>
    <row r="11" spans="1:7" x14ac:dyDescent="0.25">
      <c r="A11" s="42"/>
      <c r="B11" s="34"/>
      <c r="C11" s="34"/>
      <c r="D11" s="34"/>
      <c r="E11" s="34"/>
    </row>
    <row r="12" spans="1:7" x14ac:dyDescent="0.25">
      <c r="A12" s="58" t="s">
        <v>62</v>
      </c>
      <c r="B12" s="121" t="s">
        <v>63</v>
      </c>
      <c r="C12" s="121"/>
      <c r="D12" s="121"/>
    </row>
    <row r="13" spans="1:7" ht="46.5" x14ac:dyDescent="0.7">
      <c r="A13" s="59">
        <f>AVERAGE(Sheet1!D30,Sheet1!G30,Sheet1!J30,Sheet1!M30,Sheet1!P30,Sheet1!S30,Sheet1!V30,Sheet1!Y30,Sheet1!AB30,Sheet1!AE30)</f>
        <v>0</v>
      </c>
      <c r="B13" s="132" t="e">
        <f>AVERAGE(B27:L36)</f>
        <v>#DIV/0!</v>
      </c>
      <c r="C13" s="132"/>
      <c r="D13" s="132"/>
    </row>
    <row r="15" spans="1:7" x14ac:dyDescent="0.25">
      <c r="A15" s="60" t="s">
        <v>43</v>
      </c>
      <c r="B15" s="123" t="s">
        <v>44</v>
      </c>
      <c r="C15" s="123"/>
      <c r="D15" s="123"/>
      <c r="E15" s="55"/>
    </row>
    <row r="16" spans="1:7" ht="46.5" customHeight="1" x14ac:dyDescent="0.7">
      <c r="A16" s="77">
        <f>MAX(B23:L23)</f>
        <v>0</v>
      </c>
      <c r="B16" s="126">
        <v>0</v>
      </c>
      <c r="C16" s="126"/>
      <c r="D16" s="126"/>
      <c r="E16" s="38"/>
    </row>
    <row r="17" spans="1:14" x14ac:dyDescent="0.25">
      <c r="B17" s="124"/>
      <c r="C17" s="124"/>
      <c r="D17" s="124"/>
      <c r="E17" s="124"/>
    </row>
    <row r="18" spans="1:14" x14ac:dyDescent="0.25">
      <c r="A18" s="61" t="s">
        <v>38</v>
      </c>
      <c r="B18" s="118" t="s">
        <v>46</v>
      </c>
      <c r="C18" s="118"/>
      <c r="D18" s="118"/>
    </row>
    <row r="19" spans="1:14" ht="46.5" customHeight="1" x14ac:dyDescent="0.35">
      <c r="A19" s="62" t="str">
        <f>INDEX(A27:A36, MATCH(MAX(M27:M36), M27:M36, 0))</f>
        <v>Edward Wearing</v>
      </c>
      <c r="B19" s="119" t="str">
        <f>INDEX(A39:A48, MATCH(MAX(M39:M48), M39:M48, 0))</f>
        <v>Liam Duxbury</v>
      </c>
      <c r="C19" s="119"/>
      <c r="D19" s="119"/>
      <c r="E19" s="38"/>
    </row>
    <row r="20" spans="1:14" ht="15.75" thickBot="1" x14ac:dyDescent="0.3">
      <c r="C20" s="38"/>
      <c r="D20" s="38"/>
      <c r="E20" s="38"/>
    </row>
    <row r="21" spans="1:14" ht="15.75" thickBot="1" x14ac:dyDescent="0.3">
      <c r="A21" s="44" t="s">
        <v>31</v>
      </c>
      <c r="B21" s="66">
        <v>46048</v>
      </c>
      <c r="C21" s="66">
        <v>46074</v>
      </c>
      <c r="D21" s="66">
        <v>46102</v>
      </c>
      <c r="E21" s="66">
        <v>46138</v>
      </c>
      <c r="F21" s="66">
        <v>46165</v>
      </c>
      <c r="G21" s="66">
        <v>46200</v>
      </c>
      <c r="H21" s="66">
        <v>46229</v>
      </c>
      <c r="I21" s="66">
        <v>46256</v>
      </c>
      <c r="J21" s="66">
        <v>46291</v>
      </c>
      <c r="K21" s="66">
        <v>46321</v>
      </c>
      <c r="L21" s="67" t="s">
        <v>67</v>
      </c>
      <c r="M21" s="45"/>
    </row>
    <row r="22" spans="1:14" x14ac:dyDescent="0.25">
      <c r="A22" s="47" t="s">
        <v>68</v>
      </c>
      <c r="B22" s="68">
        <v>20</v>
      </c>
      <c r="C22" s="69"/>
      <c r="D22" s="69"/>
      <c r="E22" s="69"/>
      <c r="F22" s="69"/>
      <c r="G22" s="69"/>
      <c r="H22" s="69"/>
      <c r="I22" s="69"/>
      <c r="J22" s="69"/>
      <c r="K22" s="69"/>
      <c r="L22" s="70"/>
      <c r="M22" s="46"/>
    </row>
    <row r="23" spans="1:14" x14ac:dyDescent="0.25">
      <c r="A23" s="47" t="s">
        <v>4</v>
      </c>
      <c r="B23" s="71">
        <v>0</v>
      </c>
      <c r="C23" s="72"/>
      <c r="D23" s="72"/>
      <c r="E23" s="72"/>
      <c r="F23" s="72"/>
      <c r="G23" s="72"/>
      <c r="H23" s="72"/>
      <c r="I23" s="72"/>
      <c r="J23" s="72"/>
      <c r="K23" s="72"/>
      <c r="L23" s="73"/>
      <c r="M23" s="46"/>
    </row>
    <row r="24" spans="1:14" ht="15.75" thickBot="1" x14ac:dyDescent="0.3">
      <c r="A24" s="47" t="s">
        <v>5</v>
      </c>
      <c r="B24" s="74">
        <v>10</v>
      </c>
      <c r="C24" s="75"/>
      <c r="D24" s="75"/>
      <c r="E24" s="75"/>
      <c r="F24" s="75"/>
      <c r="G24" s="75"/>
      <c r="H24" s="75"/>
      <c r="I24" s="75"/>
      <c r="J24" s="75"/>
      <c r="K24" s="75"/>
      <c r="L24" s="76"/>
      <c r="M24" s="46"/>
    </row>
    <row r="25" spans="1:14" x14ac:dyDescent="0.25">
      <c r="A25" s="80" t="s">
        <v>8</v>
      </c>
      <c r="B25" s="78">
        <f>Sheet1!C30-B22</f>
        <v>-20</v>
      </c>
      <c r="C25" s="78">
        <f>Sheet1!F30-C22</f>
        <v>0</v>
      </c>
      <c r="D25" s="78">
        <f>Sheet1!I30-D22</f>
        <v>0</v>
      </c>
      <c r="E25" s="78">
        <f>Sheet1!L30-E22</f>
        <v>0</v>
      </c>
      <c r="F25" s="78">
        <f>Sheet1!O30-F22</f>
        <v>0</v>
      </c>
      <c r="G25" s="78">
        <f>Sheet1!R30-G22</f>
        <v>0</v>
      </c>
      <c r="H25" s="78">
        <f>Sheet1!U30-H22</f>
        <v>0</v>
      </c>
      <c r="I25" s="78">
        <f>Sheet1!X30-I22</f>
        <v>0</v>
      </c>
      <c r="J25" s="78">
        <f>Sheet1!AA30-J22</f>
        <v>0</v>
      </c>
      <c r="K25" s="78">
        <f>Sheet1!AD30-K22</f>
        <v>0</v>
      </c>
      <c r="L25" s="78">
        <f>Sheet1!AG30-L22</f>
        <v>0</v>
      </c>
      <c r="M25" s="46"/>
    </row>
    <row r="26" spans="1:14" ht="15.75" thickBot="1" x14ac:dyDescent="0.3">
      <c r="A26" s="47" t="s">
        <v>36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46" t="s">
        <v>64</v>
      </c>
    </row>
    <row r="27" spans="1:14" x14ac:dyDescent="0.25">
      <c r="A27" s="48" t="s">
        <v>22</v>
      </c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2"/>
      <c r="M27" s="46">
        <f>SUM(B28:L28)</f>
        <v>0</v>
      </c>
      <c r="N27" s="33">
        <f>M28-M39</f>
        <v>0</v>
      </c>
    </row>
    <row r="28" spans="1:14" x14ac:dyDescent="0.25">
      <c r="A28" s="48" t="s">
        <v>23</v>
      </c>
      <c r="B28" s="9"/>
      <c r="C28" s="2"/>
      <c r="D28" s="2"/>
      <c r="E28" s="2"/>
      <c r="F28" s="2"/>
      <c r="G28" s="2"/>
      <c r="H28" s="2"/>
      <c r="I28" s="2"/>
      <c r="J28" s="2"/>
      <c r="K28" s="2"/>
      <c r="L28" s="13"/>
      <c r="M28" s="46">
        <f>SUM(B28:L28)</f>
        <v>0</v>
      </c>
      <c r="N28" s="33">
        <f>M28-M40</f>
        <v>0</v>
      </c>
    </row>
    <row r="29" spans="1:14" x14ac:dyDescent="0.25">
      <c r="A29" s="48" t="s">
        <v>24</v>
      </c>
      <c r="B29" s="9"/>
      <c r="C29" s="2"/>
      <c r="D29" s="2"/>
      <c r="E29" s="2"/>
      <c r="F29" s="2"/>
      <c r="G29" s="2"/>
      <c r="H29" s="2"/>
      <c r="I29" s="2"/>
      <c r="J29" s="2"/>
      <c r="K29" s="2"/>
      <c r="L29" s="13"/>
      <c r="M29" s="46">
        <f t="shared" ref="M29:M35" si="0">SUM(B29:L29)</f>
        <v>0</v>
      </c>
      <c r="N29" s="33">
        <f t="shared" ref="N29:N36" si="1">M29-M41</f>
        <v>0</v>
      </c>
    </row>
    <row r="30" spans="1:14" x14ac:dyDescent="0.25">
      <c r="A30" s="48" t="s">
        <v>26</v>
      </c>
      <c r="B30" s="9"/>
      <c r="C30" s="2"/>
      <c r="D30" s="2"/>
      <c r="E30" s="2"/>
      <c r="F30" s="2"/>
      <c r="G30" s="2"/>
      <c r="H30" s="2"/>
      <c r="I30" s="2"/>
      <c r="J30" s="2"/>
      <c r="K30" s="2"/>
      <c r="L30" s="13"/>
      <c r="M30" s="46">
        <f t="shared" si="0"/>
        <v>0</v>
      </c>
      <c r="N30" s="33">
        <f t="shared" si="1"/>
        <v>0</v>
      </c>
    </row>
    <row r="31" spans="1:14" x14ac:dyDescent="0.25">
      <c r="A31" s="48" t="s">
        <v>75</v>
      </c>
      <c r="B31" s="9"/>
      <c r="C31" s="2"/>
      <c r="D31" s="2"/>
      <c r="E31" s="2"/>
      <c r="F31" s="2"/>
      <c r="G31" s="2"/>
      <c r="H31" s="2"/>
      <c r="I31" s="2"/>
      <c r="J31" s="2"/>
      <c r="K31" s="2"/>
      <c r="L31" s="13"/>
      <c r="M31" s="46">
        <f t="shared" si="0"/>
        <v>0</v>
      </c>
      <c r="N31" s="33">
        <f t="shared" si="1"/>
        <v>0</v>
      </c>
    </row>
    <row r="32" spans="1:14" x14ac:dyDescent="0.25">
      <c r="A32" s="48" t="s">
        <v>27</v>
      </c>
      <c r="B32" s="9"/>
      <c r="C32" s="2"/>
      <c r="D32" s="2"/>
      <c r="E32" s="2"/>
      <c r="F32" s="2"/>
      <c r="G32" s="2"/>
      <c r="H32" s="2"/>
      <c r="I32" s="2"/>
      <c r="J32" s="2"/>
      <c r="K32" s="2"/>
      <c r="L32" s="13"/>
      <c r="M32" s="46">
        <f t="shared" si="0"/>
        <v>0</v>
      </c>
      <c r="N32" s="33">
        <f t="shared" si="1"/>
        <v>0</v>
      </c>
    </row>
    <row r="33" spans="1:14" x14ac:dyDescent="0.25">
      <c r="A33" s="48" t="s">
        <v>47</v>
      </c>
      <c r="B33" s="9"/>
      <c r="C33" s="2"/>
      <c r="D33" s="2"/>
      <c r="E33" s="2"/>
      <c r="F33" s="2"/>
      <c r="G33" s="2"/>
      <c r="H33" s="2"/>
      <c r="I33" s="2"/>
      <c r="J33" s="2"/>
      <c r="K33" s="2"/>
      <c r="L33" s="13"/>
      <c r="M33" s="46">
        <f t="shared" si="0"/>
        <v>0</v>
      </c>
      <c r="N33" s="33">
        <f t="shared" si="1"/>
        <v>0</v>
      </c>
    </row>
    <row r="34" spans="1:14" x14ac:dyDescent="0.25">
      <c r="A34" s="48" t="s">
        <v>28</v>
      </c>
      <c r="B34" s="9"/>
      <c r="C34" s="2"/>
      <c r="D34" s="2"/>
      <c r="E34" s="2"/>
      <c r="F34" s="2"/>
      <c r="G34" s="2"/>
      <c r="H34" s="2"/>
      <c r="I34" s="2"/>
      <c r="J34" s="2"/>
      <c r="K34" s="2"/>
      <c r="L34" s="13"/>
      <c r="M34" s="46">
        <f t="shared" si="0"/>
        <v>0</v>
      </c>
      <c r="N34" s="33">
        <f t="shared" si="1"/>
        <v>-1</v>
      </c>
    </row>
    <row r="35" spans="1:14" x14ac:dyDescent="0.25">
      <c r="A35" s="48" t="s">
        <v>30</v>
      </c>
      <c r="B35" s="9"/>
      <c r="C35" s="2"/>
      <c r="D35" s="2"/>
      <c r="E35" s="2"/>
      <c r="F35" s="2"/>
      <c r="G35" s="2"/>
      <c r="H35" s="2"/>
      <c r="I35" s="2"/>
      <c r="J35" s="2"/>
      <c r="K35" s="2"/>
      <c r="L35" s="13"/>
      <c r="M35" s="46">
        <f t="shared" si="0"/>
        <v>0</v>
      </c>
      <c r="N35" s="33">
        <f t="shared" si="1"/>
        <v>0</v>
      </c>
    </row>
    <row r="36" spans="1:14" ht="15.75" thickBot="1" x14ac:dyDescent="0.3">
      <c r="A36" s="48" t="s">
        <v>29</v>
      </c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2"/>
      <c r="M36" s="46">
        <f>SUM(B36:L36)</f>
        <v>0</v>
      </c>
      <c r="N36" s="33">
        <f t="shared" si="1"/>
        <v>0</v>
      </c>
    </row>
    <row r="37" spans="1:14" x14ac:dyDescent="0.25">
      <c r="A37" s="48" t="s">
        <v>64</v>
      </c>
      <c r="B37" s="51">
        <f t="shared" ref="B37:L37" si="2">SUM(B28:B36)</f>
        <v>0</v>
      </c>
      <c r="C37" s="51">
        <f t="shared" si="2"/>
        <v>0</v>
      </c>
      <c r="D37" s="51">
        <f t="shared" si="2"/>
        <v>0</v>
      </c>
      <c r="E37" s="51">
        <f t="shared" si="2"/>
        <v>0</v>
      </c>
      <c r="F37" s="51">
        <f t="shared" si="2"/>
        <v>0</v>
      </c>
      <c r="G37" s="51">
        <f t="shared" si="2"/>
        <v>0</v>
      </c>
      <c r="H37" s="51">
        <f t="shared" si="2"/>
        <v>0</v>
      </c>
      <c r="I37" s="51">
        <f t="shared" si="2"/>
        <v>0</v>
      </c>
      <c r="J37" s="51">
        <f t="shared" si="2"/>
        <v>0</v>
      </c>
      <c r="K37" s="51">
        <f t="shared" si="2"/>
        <v>0</v>
      </c>
      <c r="L37" s="51">
        <f t="shared" si="2"/>
        <v>0</v>
      </c>
      <c r="M37" s="46"/>
      <c r="N37" s="33"/>
    </row>
    <row r="38" spans="1:14" ht="15.75" thickBot="1" x14ac:dyDescent="0.3">
      <c r="A38" s="47" t="s">
        <v>37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46" t="s">
        <v>64</v>
      </c>
    </row>
    <row r="39" spans="1:14" x14ac:dyDescent="0.25">
      <c r="A39" s="48" t="s">
        <v>22</v>
      </c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2"/>
      <c r="M39" s="46">
        <f>SUM(B39:L39)</f>
        <v>0</v>
      </c>
    </row>
    <row r="40" spans="1:14" x14ac:dyDescent="0.25">
      <c r="A40" s="48" t="s">
        <v>23</v>
      </c>
      <c r="B40" s="9"/>
      <c r="C40" s="2"/>
      <c r="D40" s="2"/>
      <c r="E40" s="2"/>
      <c r="F40" s="2"/>
      <c r="G40" s="2"/>
      <c r="H40" s="2"/>
      <c r="I40" s="2"/>
      <c r="J40" s="2"/>
      <c r="K40" s="2"/>
      <c r="L40" s="13"/>
      <c r="M40" s="46">
        <f t="shared" ref="M40:M48" si="3">SUM(B40:L40)</f>
        <v>0</v>
      </c>
    </row>
    <row r="41" spans="1:14" x14ac:dyDescent="0.25">
      <c r="A41" s="48" t="s">
        <v>24</v>
      </c>
      <c r="B41" s="9"/>
      <c r="C41" s="2"/>
      <c r="D41" s="2"/>
      <c r="E41" s="2"/>
      <c r="F41" s="2"/>
      <c r="G41" s="2"/>
      <c r="H41" s="2"/>
      <c r="I41" s="2"/>
      <c r="J41" s="2"/>
      <c r="K41" s="2"/>
      <c r="L41" s="13"/>
      <c r="M41" s="46">
        <f t="shared" si="3"/>
        <v>0</v>
      </c>
    </row>
    <row r="42" spans="1:14" x14ac:dyDescent="0.25">
      <c r="A42" s="48" t="s">
        <v>26</v>
      </c>
      <c r="B42" s="9"/>
      <c r="C42" s="2"/>
      <c r="D42" s="2"/>
      <c r="E42" s="2"/>
      <c r="F42" s="2"/>
      <c r="G42" s="2"/>
      <c r="H42" s="2"/>
      <c r="I42" s="2"/>
      <c r="J42" s="2"/>
      <c r="K42" s="2"/>
      <c r="L42" s="13"/>
      <c r="M42" s="46">
        <f t="shared" si="3"/>
        <v>0</v>
      </c>
    </row>
    <row r="43" spans="1:14" x14ac:dyDescent="0.25">
      <c r="A43" s="48" t="s">
        <v>75</v>
      </c>
      <c r="B43" s="9"/>
      <c r="C43" s="2"/>
      <c r="D43" s="2"/>
      <c r="E43" s="2"/>
      <c r="F43" s="2"/>
      <c r="G43" s="2"/>
      <c r="H43" s="2"/>
      <c r="I43" s="2"/>
      <c r="J43" s="2"/>
      <c r="K43" s="2"/>
      <c r="L43" s="13"/>
      <c r="M43" s="46">
        <f t="shared" si="3"/>
        <v>0</v>
      </c>
    </row>
    <row r="44" spans="1:14" x14ac:dyDescent="0.25">
      <c r="A44" s="48" t="s">
        <v>27</v>
      </c>
      <c r="B44" s="9"/>
      <c r="C44" s="2"/>
      <c r="D44" s="2"/>
      <c r="E44" s="2"/>
      <c r="F44" s="2"/>
      <c r="G44" s="2"/>
      <c r="H44" s="2"/>
      <c r="I44" s="2"/>
      <c r="J44" s="2"/>
      <c r="K44" s="2"/>
      <c r="L44" s="13"/>
      <c r="M44" s="46">
        <f t="shared" si="3"/>
        <v>0</v>
      </c>
    </row>
    <row r="45" spans="1:14" x14ac:dyDescent="0.25">
      <c r="A45" s="48" t="s">
        <v>47</v>
      </c>
      <c r="B45" s="9"/>
      <c r="C45" s="2"/>
      <c r="D45" s="2"/>
      <c r="E45" s="2"/>
      <c r="F45" s="2"/>
      <c r="G45" s="2"/>
      <c r="H45" s="2"/>
      <c r="I45" s="2"/>
      <c r="J45" s="2"/>
      <c r="K45" s="2"/>
      <c r="L45" s="13"/>
      <c r="M45" s="46">
        <f t="shared" si="3"/>
        <v>0</v>
      </c>
    </row>
    <row r="46" spans="1:14" x14ac:dyDescent="0.25">
      <c r="A46" s="48" t="s">
        <v>28</v>
      </c>
      <c r="B46" s="9">
        <v>1</v>
      </c>
      <c r="C46" s="2"/>
      <c r="D46" s="2"/>
      <c r="E46" s="2"/>
      <c r="F46" s="2"/>
      <c r="G46" s="2"/>
      <c r="H46" s="2"/>
      <c r="I46" s="2"/>
      <c r="J46" s="2"/>
      <c r="K46" s="2"/>
      <c r="L46" s="13"/>
      <c r="M46" s="46">
        <f t="shared" si="3"/>
        <v>1</v>
      </c>
    </row>
    <row r="47" spans="1:14" x14ac:dyDescent="0.25">
      <c r="A47" s="48" t="s">
        <v>30</v>
      </c>
      <c r="B47" s="9"/>
      <c r="C47" s="2"/>
      <c r="D47" s="2"/>
      <c r="E47" s="2"/>
      <c r="F47" s="2"/>
      <c r="G47" s="2"/>
      <c r="H47" s="2"/>
      <c r="I47" s="2"/>
      <c r="J47" s="2"/>
      <c r="K47" s="2"/>
      <c r="L47" s="13"/>
      <c r="M47" s="46">
        <f t="shared" si="3"/>
        <v>0</v>
      </c>
    </row>
    <row r="48" spans="1:14" ht="15.75" thickBot="1" x14ac:dyDescent="0.3">
      <c r="A48" s="48" t="s">
        <v>29</v>
      </c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2"/>
      <c r="M48" s="46">
        <f t="shared" si="3"/>
        <v>0</v>
      </c>
    </row>
    <row r="49" spans="1:13" x14ac:dyDescent="0.25">
      <c r="A49" s="48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46"/>
    </row>
    <row r="50" spans="1:13" ht="15.75" thickBot="1" x14ac:dyDescent="0.3">
      <c r="A50" s="49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0"/>
    </row>
  </sheetData>
  <mergeCells count="14">
    <mergeCell ref="B18:D18"/>
    <mergeCell ref="B19:D19"/>
    <mergeCell ref="B10:D10"/>
    <mergeCell ref="B12:D12"/>
    <mergeCell ref="B13:D13"/>
    <mergeCell ref="B15:D15"/>
    <mergeCell ref="B16:D16"/>
    <mergeCell ref="B17:E17"/>
    <mergeCell ref="B9:D9"/>
    <mergeCell ref="E1:G1"/>
    <mergeCell ref="B3:D3"/>
    <mergeCell ref="B4:D4"/>
    <mergeCell ref="B6:D6"/>
    <mergeCell ref="B7:D7"/>
  </mergeCells>
  <pageMargins left="0.7" right="0.7" top="0.75" bottom="0.75" header="0.3" footer="0.3"/>
  <pageSetup scale="4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D2E50-1F51-4B13-BC31-2D08C8DDB311}">
  <sheetPr>
    <pageSetUpPr fitToPage="1"/>
  </sheetPr>
  <dimension ref="A1:N50"/>
  <sheetViews>
    <sheetView showGridLines="0" workbookViewId="0">
      <selection activeCell="B47" sqref="B47"/>
    </sheetView>
  </sheetViews>
  <sheetFormatPr defaultRowHeight="15" x14ac:dyDescent="0.25"/>
  <cols>
    <col min="1" max="1" width="28" bestFit="1" customWidth="1"/>
    <col min="2" max="12" width="12.7109375" customWidth="1"/>
  </cols>
  <sheetData>
    <row r="1" spans="1:7" ht="59.25" customHeight="1" x14ac:dyDescent="0.55000000000000004">
      <c r="A1" s="41" t="s">
        <v>74</v>
      </c>
      <c r="B1" s="37"/>
      <c r="C1" s="37"/>
      <c r="D1" s="37"/>
      <c r="E1" s="120"/>
      <c r="F1" s="120"/>
      <c r="G1" s="120"/>
    </row>
    <row r="2" spans="1:7" x14ac:dyDescent="0.25">
      <c r="A2" s="40" t="s">
        <v>73</v>
      </c>
    </row>
    <row r="3" spans="1:7" x14ac:dyDescent="0.25">
      <c r="A3" s="35" t="s">
        <v>39</v>
      </c>
      <c r="B3" s="125" t="s">
        <v>45</v>
      </c>
      <c r="C3" s="125"/>
      <c r="D3" s="125"/>
    </row>
    <row r="4" spans="1:7" ht="46.5" x14ac:dyDescent="0.7">
      <c r="A4" s="36">
        <f>Sheet1!Y11</f>
        <v>5</v>
      </c>
      <c r="B4" s="127">
        <f>Sheet1!F11</f>
        <v>4</v>
      </c>
      <c r="C4" s="127"/>
      <c r="D4" s="127"/>
      <c r="E4" s="38"/>
    </row>
    <row r="5" spans="1:7" ht="15" customHeight="1" x14ac:dyDescent="0.25"/>
    <row r="6" spans="1:7" x14ac:dyDescent="0.25">
      <c r="A6" s="53" t="s">
        <v>51</v>
      </c>
      <c r="B6" s="129" t="s">
        <v>41</v>
      </c>
      <c r="C6" s="129"/>
      <c r="D6" s="129"/>
    </row>
    <row r="7" spans="1:7" ht="46.5" x14ac:dyDescent="0.7">
      <c r="A7" s="54">
        <f>Sheet1!P11</f>
        <v>-20</v>
      </c>
      <c r="B7" s="128">
        <f>IFERROR(Sheet1!D11/Sheet1!B11, 0)</f>
        <v>0</v>
      </c>
      <c r="C7" s="128"/>
      <c r="D7" s="128"/>
      <c r="E7" s="43"/>
    </row>
    <row r="8" spans="1:7" ht="15" customHeight="1" x14ac:dyDescent="0.25">
      <c r="A8" s="43"/>
      <c r="B8" s="43"/>
      <c r="C8" s="43"/>
      <c r="D8" s="43"/>
      <c r="E8" s="43"/>
    </row>
    <row r="9" spans="1:7" x14ac:dyDescent="0.25">
      <c r="A9" s="56" t="s">
        <v>40</v>
      </c>
      <c r="B9" s="130" t="s">
        <v>42</v>
      </c>
      <c r="C9" s="130"/>
      <c r="D9" s="130"/>
      <c r="E9" s="43"/>
    </row>
    <row r="10" spans="1:7" ht="46.5" x14ac:dyDescent="0.7">
      <c r="A10" s="57">
        <f>IFERROR(AVERAGE(Sheet1!B31,Sheet1!E31,Sheet1!H31,Sheet1!K31,Sheet1!N31,Sheet1!Q31,Sheet1!T31,Sheet1!W31,Sheet1!Z31,Sheet1!AC31,Sheet1!AF31), 0)</f>
        <v>5</v>
      </c>
      <c r="B10" s="131">
        <f>IFERROR(AVERAGE(Sheet1!C31,Sheet1!F31,Sheet1!I31,Sheet1!L31,Sheet1!O31,Sheet1!R31,Sheet1!U31,Sheet1!X31,Sheet1!AA31,Sheet1!AD31,Sheet1!AG31), 0)</f>
        <v>0</v>
      </c>
      <c r="C10" s="131"/>
      <c r="D10" s="131"/>
      <c r="E10" s="39"/>
    </row>
    <row r="11" spans="1:7" x14ac:dyDescent="0.25">
      <c r="A11" s="42"/>
      <c r="B11" s="34"/>
      <c r="C11" s="34"/>
      <c r="D11" s="34"/>
      <c r="E11" s="34"/>
    </row>
    <row r="12" spans="1:7" x14ac:dyDescent="0.25">
      <c r="A12" s="58" t="s">
        <v>62</v>
      </c>
      <c r="B12" s="121" t="s">
        <v>63</v>
      </c>
      <c r="C12" s="121"/>
      <c r="D12" s="121"/>
    </row>
    <row r="13" spans="1:7" ht="46.5" x14ac:dyDescent="0.7">
      <c r="A13" s="59">
        <f>AVERAGE(Sheet1!D31,Sheet1!G31,Sheet1!J31,Sheet1!M31,Sheet1!P31,Sheet1!S31,Sheet1!V31,Sheet1!Y31,Sheet1!AB31,Sheet1!AE31)</f>
        <v>0.3</v>
      </c>
      <c r="B13" s="132" t="e">
        <f>AVERAGE(B27:L36)</f>
        <v>#DIV/0!</v>
      </c>
      <c r="C13" s="132"/>
      <c r="D13" s="132"/>
    </row>
    <row r="15" spans="1:7" x14ac:dyDescent="0.25">
      <c r="A15" s="60" t="s">
        <v>43</v>
      </c>
      <c r="B15" s="123" t="s">
        <v>44</v>
      </c>
      <c r="C15" s="123"/>
      <c r="D15" s="123"/>
      <c r="E15" s="55"/>
    </row>
    <row r="16" spans="1:7" ht="46.5" customHeight="1" x14ac:dyDescent="0.7">
      <c r="A16" s="77">
        <f>MAX(B23:L23)</f>
        <v>0</v>
      </c>
      <c r="B16" s="126">
        <v>0</v>
      </c>
      <c r="C16" s="126"/>
      <c r="D16" s="126"/>
      <c r="E16" s="38"/>
    </row>
    <row r="17" spans="1:14" x14ac:dyDescent="0.25">
      <c r="B17" s="124"/>
      <c r="C17" s="124"/>
      <c r="D17" s="124"/>
      <c r="E17" s="124"/>
    </row>
    <row r="18" spans="1:14" x14ac:dyDescent="0.25">
      <c r="A18" s="61" t="s">
        <v>38</v>
      </c>
      <c r="B18" s="118" t="s">
        <v>46</v>
      </c>
      <c r="C18" s="118"/>
      <c r="D18" s="118"/>
    </row>
    <row r="19" spans="1:14" ht="46.5" customHeight="1" x14ac:dyDescent="0.35">
      <c r="A19" s="62" t="str">
        <f>INDEX(A27:A36, MATCH(MAX(M27:M36), M27:M36, 0))</f>
        <v>Edward Wearing</v>
      </c>
      <c r="B19" s="119" t="str">
        <f>INDEX(A39:A48, MATCH(MAX(M39:M48), M39:M48, 0))</f>
        <v>Liam Duxbury</v>
      </c>
      <c r="C19" s="119"/>
      <c r="D19" s="119"/>
      <c r="E19" s="38"/>
    </row>
    <row r="20" spans="1:14" ht="15.75" thickBot="1" x14ac:dyDescent="0.3">
      <c r="C20" s="38"/>
      <c r="D20" s="38"/>
      <c r="E20" s="38"/>
    </row>
    <row r="21" spans="1:14" ht="15.75" thickBot="1" x14ac:dyDescent="0.3">
      <c r="A21" s="44" t="s">
        <v>31</v>
      </c>
      <c r="B21" s="66">
        <v>46048</v>
      </c>
      <c r="C21" s="66">
        <v>46074</v>
      </c>
      <c r="D21" s="66">
        <v>46102</v>
      </c>
      <c r="E21" s="66">
        <v>46138</v>
      </c>
      <c r="F21" s="66">
        <v>46165</v>
      </c>
      <c r="G21" s="66">
        <v>46201</v>
      </c>
      <c r="H21" s="66">
        <v>46229</v>
      </c>
      <c r="I21" s="66">
        <v>46256</v>
      </c>
      <c r="J21" s="66">
        <v>46291</v>
      </c>
      <c r="K21" s="66">
        <v>46321</v>
      </c>
      <c r="L21" s="67" t="s">
        <v>67</v>
      </c>
      <c r="M21" s="45"/>
    </row>
    <row r="22" spans="1:14" x14ac:dyDescent="0.25">
      <c r="A22" s="47" t="s">
        <v>68</v>
      </c>
      <c r="B22" s="68">
        <v>20</v>
      </c>
      <c r="C22" s="69"/>
      <c r="D22" s="69"/>
      <c r="E22" s="69"/>
      <c r="F22" s="69"/>
      <c r="G22" s="69"/>
      <c r="H22" s="69"/>
      <c r="I22" s="69"/>
      <c r="J22" s="69"/>
      <c r="K22" s="69"/>
      <c r="L22" s="70"/>
      <c r="M22" s="46"/>
    </row>
    <row r="23" spans="1:14" x14ac:dyDescent="0.25">
      <c r="A23" s="47" t="s">
        <v>4</v>
      </c>
      <c r="B23" s="71">
        <v>0</v>
      </c>
      <c r="C23" s="72"/>
      <c r="D23" s="72"/>
      <c r="E23" s="72"/>
      <c r="F23" s="72"/>
      <c r="G23" s="72"/>
      <c r="H23" s="72"/>
      <c r="I23" s="72"/>
      <c r="J23" s="72"/>
      <c r="K23" s="72"/>
      <c r="L23" s="73"/>
      <c r="M23" s="46"/>
    </row>
    <row r="24" spans="1:14" ht="15.75" thickBot="1" x14ac:dyDescent="0.3">
      <c r="A24" s="47" t="s">
        <v>5</v>
      </c>
      <c r="B24" s="74">
        <v>10</v>
      </c>
      <c r="C24" s="75"/>
      <c r="D24" s="75"/>
      <c r="E24" s="75"/>
      <c r="F24" s="75"/>
      <c r="G24" s="75"/>
      <c r="H24" s="75"/>
      <c r="I24" s="75"/>
      <c r="J24" s="75"/>
      <c r="K24" s="75"/>
      <c r="L24" s="76"/>
      <c r="M24" s="46"/>
    </row>
    <row r="25" spans="1:14" x14ac:dyDescent="0.25">
      <c r="A25" s="80" t="s">
        <v>8</v>
      </c>
      <c r="B25" s="78">
        <f>Sheet1!C31-B22</f>
        <v>-20</v>
      </c>
      <c r="C25" s="78">
        <f>Sheet1!F31-C22</f>
        <v>0</v>
      </c>
      <c r="D25" s="78">
        <f>Sheet1!I31-D22</f>
        <v>0</v>
      </c>
      <c r="E25" s="78">
        <f>Sheet1!L31-E22</f>
        <v>0</v>
      </c>
      <c r="F25" s="78">
        <f>Sheet1!O31-F22</f>
        <v>0</v>
      </c>
      <c r="G25" s="78">
        <f>Sheet1!R31-G22</f>
        <v>0</v>
      </c>
      <c r="H25" s="78">
        <f>Sheet1!U31-H22</f>
        <v>0</v>
      </c>
      <c r="I25" s="78">
        <f>Sheet1!X31-I22</f>
        <v>0</v>
      </c>
      <c r="J25" s="78">
        <f>Sheet1!AA31-J22</f>
        <v>0</v>
      </c>
      <c r="K25" s="78">
        <f>Sheet1!AD31-K22</f>
        <v>0</v>
      </c>
      <c r="L25" s="78">
        <f>Sheet1!AG31-L22</f>
        <v>0</v>
      </c>
      <c r="M25" s="46"/>
    </row>
    <row r="26" spans="1:14" ht="15.75" thickBot="1" x14ac:dyDescent="0.3">
      <c r="A26" s="47" t="s">
        <v>36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46" t="s">
        <v>64</v>
      </c>
    </row>
    <row r="27" spans="1:14" x14ac:dyDescent="0.25">
      <c r="A27" s="48" t="s">
        <v>22</v>
      </c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2"/>
      <c r="M27" s="46">
        <f>SUM(B29:L29)</f>
        <v>0</v>
      </c>
      <c r="N27" s="33">
        <f>M29-M39</f>
        <v>0</v>
      </c>
    </row>
    <row r="28" spans="1:14" x14ac:dyDescent="0.25">
      <c r="A28" s="48" t="s">
        <v>23</v>
      </c>
      <c r="B28" s="9"/>
      <c r="C28" s="2"/>
      <c r="D28" s="2"/>
      <c r="E28" s="2"/>
      <c r="F28" s="2"/>
      <c r="G28" s="2"/>
      <c r="H28" s="2"/>
      <c r="I28" s="2"/>
      <c r="J28" s="2"/>
      <c r="K28" s="2"/>
      <c r="L28" s="13"/>
      <c r="M28" s="46">
        <f>SUM(B29:L29)</f>
        <v>0</v>
      </c>
      <c r="N28" s="33">
        <f>M29-M40</f>
        <v>0</v>
      </c>
    </row>
    <row r="29" spans="1:14" x14ac:dyDescent="0.25">
      <c r="A29" s="48" t="s">
        <v>24</v>
      </c>
      <c r="B29" s="9"/>
      <c r="C29" s="2"/>
      <c r="D29" s="2"/>
      <c r="E29" s="2"/>
      <c r="F29" s="2"/>
      <c r="G29" s="2"/>
      <c r="H29" s="2"/>
      <c r="I29" s="2"/>
      <c r="J29" s="2"/>
      <c r="K29" s="2"/>
      <c r="L29" s="13"/>
      <c r="M29" s="46">
        <f t="shared" ref="M29:M35" si="0">SUM(B29:L29)</f>
        <v>0</v>
      </c>
      <c r="N29" s="33">
        <f t="shared" ref="N29:N36" si="1">M29-M41</f>
        <v>0</v>
      </c>
    </row>
    <row r="30" spans="1:14" x14ac:dyDescent="0.25">
      <c r="A30" s="48" t="s">
        <v>25</v>
      </c>
      <c r="B30" s="9"/>
      <c r="C30" s="2"/>
      <c r="D30" s="2"/>
      <c r="E30" s="2"/>
      <c r="F30" s="2"/>
      <c r="G30" s="2"/>
      <c r="H30" s="2"/>
      <c r="I30" s="2"/>
      <c r="J30" s="2"/>
      <c r="K30" s="2"/>
      <c r="L30" s="13"/>
      <c r="M30" s="46">
        <f t="shared" si="0"/>
        <v>0</v>
      </c>
      <c r="N30" s="33">
        <f t="shared" si="1"/>
        <v>0</v>
      </c>
    </row>
    <row r="31" spans="1:14" x14ac:dyDescent="0.25">
      <c r="A31" s="48" t="s">
        <v>75</v>
      </c>
      <c r="B31" s="9"/>
      <c r="C31" s="2"/>
      <c r="D31" s="2"/>
      <c r="E31" s="2"/>
      <c r="F31" s="2"/>
      <c r="G31" s="2"/>
      <c r="H31" s="2"/>
      <c r="I31" s="2"/>
      <c r="J31" s="2"/>
      <c r="K31" s="2"/>
      <c r="L31" s="13"/>
      <c r="M31" s="46">
        <f t="shared" si="0"/>
        <v>0</v>
      </c>
      <c r="N31" s="33">
        <f t="shared" si="1"/>
        <v>0</v>
      </c>
    </row>
    <row r="32" spans="1:14" x14ac:dyDescent="0.25">
      <c r="A32" s="48" t="s">
        <v>27</v>
      </c>
      <c r="B32" s="9"/>
      <c r="C32" s="2"/>
      <c r="D32" s="2"/>
      <c r="E32" s="2"/>
      <c r="F32" s="2"/>
      <c r="G32" s="2"/>
      <c r="H32" s="2"/>
      <c r="I32" s="2"/>
      <c r="J32" s="2"/>
      <c r="K32" s="2"/>
      <c r="L32" s="13"/>
      <c r="M32" s="46">
        <f t="shared" si="0"/>
        <v>0</v>
      </c>
      <c r="N32" s="33">
        <f t="shared" si="1"/>
        <v>0</v>
      </c>
    </row>
    <row r="33" spans="1:14" x14ac:dyDescent="0.25">
      <c r="A33" s="48" t="s">
        <v>47</v>
      </c>
      <c r="B33" s="9"/>
      <c r="C33" s="2"/>
      <c r="D33" s="2"/>
      <c r="E33" s="2"/>
      <c r="F33" s="2"/>
      <c r="G33" s="2"/>
      <c r="H33" s="2"/>
      <c r="I33" s="2"/>
      <c r="J33" s="2"/>
      <c r="K33" s="2"/>
      <c r="L33" s="13"/>
      <c r="M33" s="46">
        <f t="shared" si="0"/>
        <v>0</v>
      </c>
      <c r="N33" s="33">
        <f t="shared" si="1"/>
        <v>0</v>
      </c>
    </row>
    <row r="34" spans="1:14" x14ac:dyDescent="0.25">
      <c r="A34" s="48" t="s">
        <v>28</v>
      </c>
      <c r="B34" s="9"/>
      <c r="C34" s="2"/>
      <c r="D34" s="2"/>
      <c r="E34" s="2"/>
      <c r="F34" s="2"/>
      <c r="G34" s="2"/>
      <c r="H34" s="2"/>
      <c r="I34" s="2"/>
      <c r="J34" s="2"/>
      <c r="K34" s="2"/>
      <c r="L34" s="13"/>
      <c r="M34" s="46">
        <f t="shared" si="0"/>
        <v>0</v>
      </c>
      <c r="N34" s="33">
        <f t="shared" si="1"/>
        <v>-1</v>
      </c>
    </row>
    <row r="35" spans="1:14" x14ac:dyDescent="0.25">
      <c r="A35" s="48" t="s">
        <v>30</v>
      </c>
      <c r="B35" s="9"/>
      <c r="C35" s="2"/>
      <c r="D35" s="2"/>
      <c r="E35" s="2"/>
      <c r="F35" s="2"/>
      <c r="G35" s="2"/>
      <c r="H35" s="2"/>
      <c r="I35" s="2"/>
      <c r="J35" s="2"/>
      <c r="K35" s="2"/>
      <c r="L35" s="13"/>
      <c r="M35" s="46">
        <f t="shared" si="0"/>
        <v>0</v>
      </c>
      <c r="N35" s="33">
        <f t="shared" si="1"/>
        <v>0</v>
      </c>
    </row>
    <row r="36" spans="1:14" ht="15.75" thickBot="1" x14ac:dyDescent="0.3">
      <c r="A36" s="48" t="s">
        <v>29</v>
      </c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2"/>
      <c r="M36" s="46">
        <f>SUM(B36:L36)</f>
        <v>0</v>
      </c>
      <c r="N36" s="33">
        <f t="shared" si="1"/>
        <v>0</v>
      </c>
    </row>
    <row r="37" spans="1:14" x14ac:dyDescent="0.25">
      <c r="A37" s="48" t="s">
        <v>64</v>
      </c>
      <c r="B37" s="51">
        <f t="shared" ref="B37:L37" si="2">SUM(B29:B36)</f>
        <v>0</v>
      </c>
      <c r="C37" s="51">
        <f t="shared" si="2"/>
        <v>0</v>
      </c>
      <c r="D37" s="51">
        <f t="shared" si="2"/>
        <v>0</v>
      </c>
      <c r="E37" s="51">
        <f t="shared" si="2"/>
        <v>0</v>
      </c>
      <c r="F37" s="51">
        <f t="shared" si="2"/>
        <v>0</v>
      </c>
      <c r="G37" s="51">
        <f t="shared" si="2"/>
        <v>0</v>
      </c>
      <c r="H37" s="51">
        <f t="shared" si="2"/>
        <v>0</v>
      </c>
      <c r="I37" s="51">
        <f t="shared" si="2"/>
        <v>0</v>
      </c>
      <c r="J37" s="51">
        <f t="shared" si="2"/>
        <v>0</v>
      </c>
      <c r="K37" s="51">
        <f t="shared" si="2"/>
        <v>0</v>
      </c>
      <c r="L37" s="51">
        <f t="shared" si="2"/>
        <v>0</v>
      </c>
      <c r="M37" s="46"/>
      <c r="N37" s="33"/>
    </row>
    <row r="38" spans="1:14" ht="15.75" thickBot="1" x14ac:dyDescent="0.3">
      <c r="A38" s="47" t="s">
        <v>37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46" t="s">
        <v>64</v>
      </c>
    </row>
    <row r="39" spans="1:14" x14ac:dyDescent="0.25">
      <c r="A39" s="48" t="s">
        <v>22</v>
      </c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2"/>
      <c r="M39" s="46">
        <f>SUM(B39:L39)</f>
        <v>0</v>
      </c>
    </row>
    <row r="40" spans="1:14" x14ac:dyDescent="0.25">
      <c r="A40" s="48" t="s">
        <v>23</v>
      </c>
      <c r="B40" s="9"/>
      <c r="C40" s="2"/>
      <c r="D40" s="2"/>
      <c r="E40" s="2"/>
      <c r="F40" s="2"/>
      <c r="G40" s="2"/>
      <c r="H40" s="2"/>
      <c r="I40" s="2"/>
      <c r="J40" s="2"/>
      <c r="K40" s="2"/>
      <c r="L40" s="13"/>
      <c r="M40" s="46">
        <f t="shared" ref="M40:M48" si="3">SUM(B40:L40)</f>
        <v>0</v>
      </c>
    </row>
    <row r="41" spans="1:14" x14ac:dyDescent="0.25">
      <c r="A41" s="48" t="s">
        <v>24</v>
      </c>
      <c r="B41" s="9"/>
      <c r="C41" s="2"/>
      <c r="D41" s="2"/>
      <c r="E41" s="2"/>
      <c r="F41" s="2"/>
      <c r="G41" s="2"/>
      <c r="H41" s="2"/>
      <c r="I41" s="2"/>
      <c r="J41" s="2"/>
      <c r="K41" s="2"/>
      <c r="L41" s="13"/>
      <c r="M41" s="46">
        <f t="shared" si="3"/>
        <v>0</v>
      </c>
    </row>
    <row r="42" spans="1:14" x14ac:dyDescent="0.25">
      <c r="A42" s="48" t="s">
        <v>25</v>
      </c>
      <c r="B42" s="9"/>
      <c r="C42" s="2"/>
      <c r="D42" s="2"/>
      <c r="E42" s="2"/>
      <c r="F42" s="2"/>
      <c r="G42" s="2"/>
      <c r="H42" s="2"/>
      <c r="I42" s="2"/>
      <c r="J42" s="2"/>
      <c r="K42" s="2"/>
      <c r="L42" s="13"/>
      <c r="M42" s="46">
        <f t="shared" si="3"/>
        <v>0</v>
      </c>
    </row>
    <row r="43" spans="1:14" x14ac:dyDescent="0.25">
      <c r="A43" s="48" t="s">
        <v>75</v>
      </c>
      <c r="B43" s="9"/>
      <c r="C43" s="2"/>
      <c r="D43" s="2"/>
      <c r="E43" s="2"/>
      <c r="F43" s="2"/>
      <c r="G43" s="2"/>
      <c r="H43" s="2"/>
      <c r="I43" s="2"/>
      <c r="J43" s="2"/>
      <c r="K43" s="2"/>
      <c r="L43" s="13"/>
      <c r="M43" s="46">
        <f t="shared" si="3"/>
        <v>0</v>
      </c>
    </row>
    <row r="44" spans="1:14" x14ac:dyDescent="0.25">
      <c r="A44" s="48" t="s">
        <v>27</v>
      </c>
      <c r="B44" s="9"/>
      <c r="C44" s="2"/>
      <c r="D44" s="2"/>
      <c r="E44" s="2"/>
      <c r="F44" s="2"/>
      <c r="G44" s="2"/>
      <c r="H44" s="2"/>
      <c r="I44" s="2"/>
      <c r="J44" s="2"/>
      <c r="K44" s="2"/>
      <c r="L44" s="13"/>
      <c r="M44" s="46">
        <f t="shared" si="3"/>
        <v>0</v>
      </c>
    </row>
    <row r="45" spans="1:14" x14ac:dyDescent="0.25">
      <c r="A45" s="48" t="s">
        <v>47</v>
      </c>
      <c r="B45" s="9"/>
      <c r="C45" s="2"/>
      <c r="D45" s="2"/>
      <c r="E45" s="2"/>
      <c r="F45" s="2"/>
      <c r="G45" s="2"/>
      <c r="H45" s="2"/>
      <c r="I45" s="2"/>
      <c r="J45" s="2"/>
      <c r="K45" s="2"/>
      <c r="L45" s="13"/>
      <c r="M45" s="46">
        <f t="shared" si="3"/>
        <v>0</v>
      </c>
    </row>
    <row r="46" spans="1:14" x14ac:dyDescent="0.25">
      <c r="A46" s="48" t="s">
        <v>28</v>
      </c>
      <c r="B46" s="9">
        <v>1</v>
      </c>
      <c r="C46" s="2"/>
      <c r="D46" s="2"/>
      <c r="E46" s="2"/>
      <c r="F46" s="2"/>
      <c r="G46" s="2"/>
      <c r="H46" s="2"/>
      <c r="I46" s="2"/>
      <c r="J46" s="2"/>
      <c r="K46" s="2"/>
      <c r="L46" s="13"/>
      <c r="M46" s="46">
        <f t="shared" si="3"/>
        <v>1</v>
      </c>
    </row>
    <row r="47" spans="1:14" x14ac:dyDescent="0.25">
      <c r="A47" s="48" t="s">
        <v>30</v>
      </c>
      <c r="B47" s="9"/>
      <c r="C47" s="2"/>
      <c r="D47" s="2"/>
      <c r="E47" s="2"/>
      <c r="F47" s="2"/>
      <c r="G47" s="2"/>
      <c r="H47" s="2"/>
      <c r="I47" s="2"/>
      <c r="J47" s="2"/>
      <c r="K47" s="2"/>
      <c r="L47" s="13"/>
      <c r="M47" s="46">
        <f t="shared" si="3"/>
        <v>0</v>
      </c>
    </row>
    <row r="48" spans="1:14" ht="15.75" thickBot="1" x14ac:dyDescent="0.3">
      <c r="A48" s="48" t="s">
        <v>29</v>
      </c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2"/>
      <c r="M48" s="46">
        <f t="shared" si="3"/>
        <v>0</v>
      </c>
    </row>
    <row r="49" spans="1:13" x14ac:dyDescent="0.25">
      <c r="A49" s="48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46"/>
    </row>
    <row r="50" spans="1:13" ht="15.75" thickBot="1" x14ac:dyDescent="0.3">
      <c r="A50" s="49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0"/>
    </row>
  </sheetData>
  <mergeCells count="14">
    <mergeCell ref="B18:D18"/>
    <mergeCell ref="B19:D19"/>
    <mergeCell ref="B10:D10"/>
    <mergeCell ref="B12:D12"/>
    <mergeCell ref="B13:D13"/>
    <mergeCell ref="B15:D15"/>
    <mergeCell ref="B16:D16"/>
    <mergeCell ref="B17:E17"/>
    <mergeCell ref="B9:D9"/>
    <mergeCell ref="E1:G1"/>
    <mergeCell ref="B3:D3"/>
    <mergeCell ref="B4:D4"/>
    <mergeCell ref="B6:D6"/>
    <mergeCell ref="B7:D7"/>
  </mergeCells>
  <pageMargins left="0.7" right="0.7" top="0.75" bottom="0.75" header="0.3" footer="0.3"/>
  <pageSetup scale="4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3677C-7592-40AE-876C-F96424B73376}">
  <sheetPr>
    <pageSetUpPr fitToPage="1"/>
  </sheetPr>
  <dimension ref="A1:N50"/>
  <sheetViews>
    <sheetView showGridLines="0" topLeftCell="A10" workbookViewId="0">
      <selection activeCell="B35" sqref="B35"/>
    </sheetView>
  </sheetViews>
  <sheetFormatPr defaultRowHeight="15" x14ac:dyDescent="0.25"/>
  <cols>
    <col min="1" max="1" width="28" bestFit="1" customWidth="1"/>
    <col min="2" max="12" width="12.7109375" customWidth="1"/>
  </cols>
  <sheetData>
    <row r="1" spans="1:7" ht="59.25" customHeight="1" x14ac:dyDescent="0.55000000000000004">
      <c r="A1" s="41" t="s">
        <v>77</v>
      </c>
      <c r="B1" s="37"/>
      <c r="C1" s="37"/>
      <c r="D1" s="37"/>
      <c r="E1" s="120"/>
      <c r="F1" s="120"/>
      <c r="G1" s="120"/>
    </row>
    <row r="2" spans="1:7" x14ac:dyDescent="0.25">
      <c r="A2" s="40" t="s">
        <v>76</v>
      </c>
    </row>
    <row r="3" spans="1:7" x14ac:dyDescent="0.25">
      <c r="A3" s="35" t="s">
        <v>39</v>
      </c>
      <c r="B3" s="125" t="s">
        <v>45</v>
      </c>
      <c r="C3" s="125"/>
      <c r="D3" s="125"/>
    </row>
    <row r="4" spans="1:7" ht="46.5" x14ac:dyDescent="0.7">
      <c r="A4" s="36">
        <f>Sheet1!Y12</f>
        <v>6</v>
      </c>
      <c r="B4" s="127">
        <f>Sheet1!F12</f>
        <v>1</v>
      </c>
      <c r="C4" s="127"/>
      <c r="D4" s="127"/>
      <c r="E4" s="38"/>
    </row>
    <row r="5" spans="1:7" ht="15" customHeight="1" x14ac:dyDescent="0.25"/>
    <row r="6" spans="1:7" x14ac:dyDescent="0.25">
      <c r="A6" s="53" t="s">
        <v>51</v>
      </c>
      <c r="B6" s="129" t="s">
        <v>41</v>
      </c>
      <c r="C6" s="129"/>
      <c r="D6" s="129"/>
    </row>
    <row r="7" spans="1:7" ht="46.5" x14ac:dyDescent="0.7">
      <c r="A7" s="54">
        <f>Sheet1!P12</f>
        <v>-30</v>
      </c>
      <c r="B7" s="128">
        <f>IFERROR(Sheet1!D12/Sheet1!B12, 0)</f>
        <v>0</v>
      </c>
      <c r="C7" s="128"/>
      <c r="D7" s="128"/>
      <c r="E7" s="43"/>
    </row>
    <row r="8" spans="1:7" ht="15" customHeight="1" x14ac:dyDescent="0.25">
      <c r="A8" s="43"/>
      <c r="B8" s="43"/>
      <c r="C8" s="43"/>
      <c r="D8" s="43"/>
      <c r="E8" s="43"/>
    </row>
    <row r="9" spans="1:7" x14ac:dyDescent="0.25">
      <c r="A9" s="56" t="s">
        <v>40</v>
      </c>
      <c r="B9" s="130" t="s">
        <v>42</v>
      </c>
      <c r="C9" s="130"/>
      <c r="D9" s="130"/>
      <c r="E9" s="43"/>
    </row>
    <row r="10" spans="1:7" ht="46.5" x14ac:dyDescent="0.7">
      <c r="A10" s="57">
        <f>IFERROR(AVERAGE(Sheet1!B32,Sheet1!E32,Sheet1!H32,Sheet1!K32,Sheet1!N32,Sheet1!Q32,Sheet1!T32,Sheet1!W32,Sheet1!Z32,Sheet1!AC32,Sheet1!AF32), 0)</f>
        <v>6</v>
      </c>
      <c r="B10" s="131">
        <f>IFERROR(AVERAGE(Sheet1!C32,Sheet1!F32,Sheet1!I32,Sheet1!L32,Sheet1!O32,Sheet1!R32,Sheet1!U32,Sheet1!X32,Sheet1!AA32,Sheet1!AD32,Sheet1!AG32), 0)</f>
        <v>0</v>
      </c>
      <c r="C10" s="131"/>
      <c r="D10" s="131"/>
      <c r="E10" s="39"/>
    </row>
    <row r="11" spans="1:7" x14ac:dyDescent="0.25">
      <c r="A11" s="42"/>
      <c r="B11" s="34"/>
      <c r="C11" s="34"/>
      <c r="D11" s="34"/>
      <c r="E11" s="34"/>
    </row>
    <row r="12" spans="1:7" x14ac:dyDescent="0.25">
      <c r="A12" s="58" t="s">
        <v>62</v>
      </c>
      <c r="B12" s="121" t="s">
        <v>63</v>
      </c>
      <c r="C12" s="121"/>
      <c r="D12" s="121"/>
    </row>
    <row r="13" spans="1:7" ht="46.5" x14ac:dyDescent="0.7">
      <c r="A13" s="59">
        <f>AVERAGE(Sheet1!D32,Sheet1!G32,Sheet1!J32,Sheet1!M32,Sheet1!P32,Sheet1!S32,Sheet1!V32,Sheet1!Y32,Sheet1!AB32,Sheet1!AE32)</f>
        <v>0</v>
      </c>
      <c r="B13" s="132">
        <f>AVERAGE(B27:L36)</f>
        <v>1</v>
      </c>
      <c r="C13" s="132"/>
      <c r="D13" s="132"/>
    </row>
    <row r="15" spans="1:7" x14ac:dyDescent="0.25">
      <c r="A15" s="60" t="s">
        <v>43</v>
      </c>
      <c r="B15" s="123" t="s">
        <v>44</v>
      </c>
      <c r="C15" s="123"/>
      <c r="D15" s="123"/>
      <c r="E15" s="55"/>
    </row>
    <row r="16" spans="1:7" ht="46.5" customHeight="1" x14ac:dyDescent="0.7">
      <c r="A16" s="77">
        <f>MAX(B23:L23)</f>
        <v>10</v>
      </c>
      <c r="B16" s="126">
        <v>0</v>
      </c>
      <c r="C16" s="126"/>
      <c r="D16" s="126"/>
      <c r="E16" s="38"/>
    </row>
    <row r="17" spans="1:14" x14ac:dyDescent="0.25">
      <c r="B17" s="124"/>
      <c r="C17" s="124"/>
      <c r="D17" s="124"/>
      <c r="E17" s="124"/>
    </row>
    <row r="18" spans="1:14" x14ac:dyDescent="0.25">
      <c r="A18" s="61" t="s">
        <v>38</v>
      </c>
      <c r="B18" s="118" t="s">
        <v>46</v>
      </c>
      <c r="C18" s="118"/>
      <c r="D18" s="118"/>
    </row>
    <row r="19" spans="1:14" ht="46.5" customHeight="1" x14ac:dyDescent="0.35">
      <c r="A19" s="62" t="str">
        <f>INDEX(A27:A36, MATCH(MAX(M27:M36), M27:M36, 0))</f>
        <v>Liam Duxbury</v>
      </c>
      <c r="B19" s="119" t="str">
        <f>INDEX(A39:A48, MATCH(MAX(M39:M48), M39:M48, 0))</f>
        <v>Edward Wearing</v>
      </c>
      <c r="C19" s="119"/>
      <c r="D19" s="119"/>
      <c r="E19" s="38"/>
    </row>
    <row r="20" spans="1:14" ht="15.75" thickBot="1" x14ac:dyDescent="0.3">
      <c r="C20" s="38"/>
      <c r="D20" s="38"/>
      <c r="E20" s="38"/>
    </row>
    <row r="21" spans="1:14" ht="15.75" thickBot="1" x14ac:dyDescent="0.3">
      <c r="A21" s="44" t="s">
        <v>31</v>
      </c>
      <c r="B21" s="66">
        <v>46048</v>
      </c>
      <c r="C21" s="66">
        <v>46074</v>
      </c>
      <c r="D21" s="66">
        <v>46102</v>
      </c>
      <c r="E21" s="66">
        <v>46138</v>
      </c>
      <c r="F21" s="66">
        <v>46165</v>
      </c>
      <c r="G21" s="66">
        <v>46202</v>
      </c>
      <c r="H21" s="66">
        <v>46229</v>
      </c>
      <c r="I21" s="66">
        <v>46256</v>
      </c>
      <c r="J21" s="66">
        <v>46291</v>
      </c>
      <c r="K21" s="66">
        <v>46321</v>
      </c>
      <c r="L21" s="67" t="s">
        <v>67</v>
      </c>
      <c r="M21" s="45"/>
    </row>
    <row r="22" spans="1:14" x14ac:dyDescent="0.25">
      <c r="A22" s="47" t="s">
        <v>68</v>
      </c>
      <c r="B22" s="68">
        <v>30</v>
      </c>
      <c r="C22" s="69"/>
      <c r="D22" s="69"/>
      <c r="E22" s="69"/>
      <c r="F22" s="69"/>
      <c r="G22" s="69"/>
      <c r="H22" s="69"/>
      <c r="I22" s="69"/>
      <c r="J22" s="69"/>
      <c r="K22" s="69"/>
      <c r="L22" s="70"/>
      <c r="M22" s="46"/>
    </row>
    <row r="23" spans="1:14" x14ac:dyDescent="0.25">
      <c r="A23" s="47" t="s">
        <v>4</v>
      </c>
      <c r="B23" s="71">
        <v>10</v>
      </c>
      <c r="C23" s="72"/>
      <c r="D23" s="72"/>
      <c r="E23" s="72"/>
      <c r="F23" s="72"/>
      <c r="G23" s="72"/>
      <c r="H23" s="72"/>
      <c r="I23" s="72"/>
      <c r="J23" s="72"/>
      <c r="K23" s="72"/>
      <c r="L23" s="73"/>
      <c r="M23" s="46"/>
    </row>
    <row r="24" spans="1:14" ht="15.75" thickBot="1" x14ac:dyDescent="0.3">
      <c r="A24" s="47" t="s">
        <v>5</v>
      </c>
      <c r="B24" s="74">
        <v>10</v>
      </c>
      <c r="C24" s="75"/>
      <c r="D24" s="75"/>
      <c r="E24" s="75"/>
      <c r="F24" s="75"/>
      <c r="G24" s="75"/>
      <c r="H24" s="75"/>
      <c r="I24" s="75"/>
      <c r="J24" s="75"/>
      <c r="K24" s="75"/>
      <c r="L24" s="76"/>
      <c r="M24" s="46"/>
    </row>
    <row r="25" spans="1:14" x14ac:dyDescent="0.25">
      <c r="A25" s="80" t="s">
        <v>8</v>
      </c>
      <c r="B25" s="78">
        <f>Sheet1!C32-B22</f>
        <v>-30</v>
      </c>
      <c r="C25" s="78">
        <f>Sheet1!F32-C22</f>
        <v>0</v>
      </c>
      <c r="D25" s="78">
        <f>Sheet1!I32-D22</f>
        <v>0</v>
      </c>
      <c r="E25" s="78">
        <f>Sheet1!L32-E22</f>
        <v>0</v>
      </c>
      <c r="F25" s="78">
        <f>Sheet1!O32-F22</f>
        <v>0</v>
      </c>
      <c r="G25" s="78">
        <f>Sheet1!R32-G22</f>
        <v>0</v>
      </c>
      <c r="H25" s="78">
        <f>Sheet1!U32-H22</f>
        <v>0</v>
      </c>
      <c r="I25" s="78">
        <f>Sheet1!X32-I22</f>
        <v>0</v>
      </c>
      <c r="J25" s="78">
        <f>Sheet1!AA32-J22</f>
        <v>0</v>
      </c>
      <c r="K25" s="78">
        <f>Sheet1!AD32-K22</f>
        <v>0</v>
      </c>
      <c r="L25" s="78">
        <f>Sheet1!AG32-L22</f>
        <v>0</v>
      </c>
      <c r="M25" s="46"/>
    </row>
    <row r="26" spans="1:14" ht="15.75" thickBot="1" x14ac:dyDescent="0.3">
      <c r="A26" s="47" t="s">
        <v>36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46" t="s">
        <v>64</v>
      </c>
    </row>
    <row r="27" spans="1:14" x14ac:dyDescent="0.25">
      <c r="A27" s="48" t="s">
        <v>22</v>
      </c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2"/>
      <c r="M27" s="46">
        <f>SUM(B29:L29)</f>
        <v>0</v>
      </c>
      <c r="N27" s="33">
        <f>M29-M39</f>
        <v>0</v>
      </c>
    </row>
    <row r="28" spans="1:14" x14ac:dyDescent="0.25">
      <c r="A28" s="48" t="s">
        <v>23</v>
      </c>
      <c r="B28" s="9">
        <v>1</v>
      </c>
      <c r="C28" s="2"/>
      <c r="D28" s="2"/>
      <c r="E28" s="2"/>
      <c r="F28" s="2"/>
      <c r="G28" s="2"/>
      <c r="H28" s="2"/>
      <c r="I28" s="2"/>
      <c r="J28" s="2"/>
      <c r="K28" s="2"/>
      <c r="L28" s="13"/>
      <c r="M28" s="46">
        <f>SUM(B29:L29)</f>
        <v>0</v>
      </c>
      <c r="N28" s="33">
        <f>M29-M40</f>
        <v>0</v>
      </c>
    </row>
    <row r="29" spans="1:14" x14ac:dyDescent="0.25">
      <c r="A29" s="48" t="s">
        <v>24</v>
      </c>
      <c r="B29" s="9"/>
      <c r="C29" s="2"/>
      <c r="D29" s="2"/>
      <c r="E29" s="2"/>
      <c r="F29" s="2"/>
      <c r="G29" s="2"/>
      <c r="H29" s="2"/>
      <c r="I29" s="2"/>
      <c r="J29" s="2"/>
      <c r="K29" s="2"/>
      <c r="L29" s="13"/>
      <c r="M29" s="46">
        <f t="shared" ref="M29:M35" si="0">SUM(B29:L29)</f>
        <v>0</v>
      </c>
      <c r="N29" s="33">
        <f t="shared" ref="N29:N36" si="1">M29-M41</f>
        <v>0</v>
      </c>
    </row>
    <row r="30" spans="1:14" x14ac:dyDescent="0.25">
      <c r="A30" s="48" t="s">
        <v>25</v>
      </c>
      <c r="B30" s="9"/>
      <c r="C30" s="2"/>
      <c r="D30" s="2"/>
      <c r="E30" s="2"/>
      <c r="F30" s="2"/>
      <c r="G30" s="2"/>
      <c r="H30" s="2"/>
      <c r="I30" s="2"/>
      <c r="J30" s="2"/>
      <c r="K30" s="2"/>
      <c r="L30" s="13"/>
      <c r="M30" s="46">
        <f t="shared" si="0"/>
        <v>0</v>
      </c>
      <c r="N30" s="33">
        <f t="shared" si="1"/>
        <v>0</v>
      </c>
    </row>
    <row r="31" spans="1:14" x14ac:dyDescent="0.25">
      <c r="A31" s="48" t="s">
        <v>26</v>
      </c>
      <c r="B31" s="9"/>
      <c r="C31" s="2"/>
      <c r="D31" s="2"/>
      <c r="E31" s="2"/>
      <c r="F31" s="2"/>
      <c r="G31" s="2"/>
      <c r="H31" s="2"/>
      <c r="I31" s="2"/>
      <c r="J31" s="2"/>
      <c r="K31" s="2"/>
      <c r="L31" s="13"/>
      <c r="M31" s="46">
        <f t="shared" si="0"/>
        <v>0</v>
      </c>
      <c r="N31" s="33">
        <f t="shared" si="1"/>
        <v>0</v>
      </c>
    </row>
    <row r="32" spans="1:14" x14ac:dyDescent="0.25">
      <c r="A32" s="48" t="s">
        <v>27</v>
      </c>
      <c r="B32" s="9"/>
      <c r="C32" s="2"/>
      <c r="D32" s="2"/>
      <c r="E32" s="2"/>
      <c r="F32" s="2"/>
      <c r="G32" s="2"/>
      <c r="H32" s="2"/>
      <c r="I32" s="2"/>
      <c r="J32" s="2"/>
      <c r="K32" s="2"/>
      <c r="L32" s="13"/>
      <c r="M32" s="46">
        <f t="shared" si="0"/>
        <v>0</v>
      </c>
      <c r="N32" s="33">
        <f t="shared" si="1"/>
        <v>0</v>
      </c>
    </row>
    <row r="33" spans="1:14" x14ac:dyDescent="0.25">
      <c r="A33" s="48" t="s">
        <v>47</v>
      </c>
      <c r="B33" s="9"/>
      <c r="C33" s="2"/>
      <c r="D33" s="2"/>
      <c r="E33" s="2"/>
      <c r="F33" s="2"/>
      <c r="G33" s="2"/>
      <c r="H33" s="2"/>
      <c r="I33" s="2"/>
      <c r="J33" s="2"/>
      <c r="K33" s="2"/>
      <c r="L33" s="13"/>
      <c r="M33" s="46">
        <f t="shared" si="0"/>
        <v>0</v>
      </c>
      <c r="N33" s="33">
        <f t="shared" si="1"/>
        <v>0</v>
      </c>
    </row>
    <row r="34" spans="1:14" x14ac:dyDescent="0.25">
      <c r="A34" s="48" t="s">
        <v>28</v>
      </c>
      <c r="B34" s="9">
        <v>1</v>
      </c>
      <c r="C34" s="2"/>
      <c r="D34" s="2"/>
      <c r="E34" s="2"/>
      <c r="F34" s="2"/>
      <c r="G34" s="2"/>
      <c r="H34" s="2"/>
      <c r="I34" s="2"/>
      <c r="J34" s="2"/>
      <c r="K34" s="2"/>
      <c r="L34" s="13"/>
      <c r="M34" s="46">
        <f t="shared" si="0"/>
        <v>1</v>
      </c>
      <c r="N34" s="33">
        <f t="shared" si="1"/>
        <v>1</v>
      </c>
    </row>
    <row r="35" spans="1:14" x14ac:dyDescent="0.25">
      <c r="A35" s="48" t="s">
        <v>30</v>
      </c>
      <c r="B35" s="9"/>
      <c r="C35" s="2"/>
      <c r="D35" s="2"/>
      <c r="E35" s="2"/>
      <c r="F35" s="2"/>
      <c r="G35" s="2"/>
      <c r="H35" s="2"/>
      <c r="I35" s="2"/>
      <c r="J35" s="2"/>
      <c r="K35" s="2"/>
      <c r="L35" s="13"/>
      <c r="M35" s="46">
        <f t="shared" si="0"/>
        <v>0</v>
      </c>
      <c r="N35" s="33">
        <f t="shared" si="1"/>
        <v>0</v>
      </c>
    </row>
    <row r="36" spans="1:14" ht="15.75" thickBot="1" x14ac:dyDescent="0.3">
      <c r="A36" s="48" t="s">
        <v>29</v>
      </c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2"/>
      <c r="M36" s="46">
        <f>SUM(B36:L36)</f>
        <v>0</v>
      </c>
      <c r="N36" s="33">
        <f t="shared" si="1"/>
        <v>0</v>
      </c>
    </row>
    <row r="37" spans="1:14" x14ac:dyDescent="0.25">
      <c r="A37" s="48" t="s">
        <v>64</v>
      </c>
      <c r="B37" s="51">
        <f t="shared" ref="B37:L37" si="2">SUM(B29:B36)</f>
        <v>1</v>
      </c>
      <c r="C37" s="51">
        <f t="shared" si="2"/>
        <v>0</v>
      </c>
      <c r="D37" s="51">
        <f t="shared" si="2"/>
        <v>0</v>
      </c>
      <c r="E37" s="51">
        <f t="shared" si="2"/>
        <v>0</v>
      </c>
      <c r="F37" s="51">
        <f t="shared" si="2"/>
        <v>0</v>
      </c>
      <c r="G37" s="51">
        <f t="shared" si="2"/>
        <v>0</v>
      </c>
      <c r="H37" s="51">
        <f t="shared" si="2"/>
        <v>0</v>
      </c>
      <c r="I37" s="51">
        <f t="shared" si="2"/>
        <v>0</v>
      </c>
      <c r="J37" s="51">
        <f t="shared" si="2"/>
        <v>0</v>
      </c>
      <c r="K37" s="51">
        <f t="shared" si="2"/>
        <v>0</v>
      </c>
      <c r="L37" s="51">
        <f t="shared" si="2"/>
        <v>0</v>
      </c>
      <c r="M37" s="46"/>
      <c r="N37" s="33"/>
    </row>
    <row r="38" spans="1:14" ht="15.75" thickBot="1" x14ac:dyDescent="0.3">
      <c r="A38" s="47" t="s">
        <v>37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46" t="s">
        <v>64</v>
      </c>
    </row>
    <row r="39" spans="1:14" x14ac:dyDescent="0.25">
      <c r="A39" s="48" t="s">
        <v>22</v>
      </c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2"/>
      <c r="M39" s="46">
        <f>SUM(B39:L39)</f>
        <v>0</v>
      </c>
    </row>
    <row r="40" spans="1:14" x14ac:dyDescent="0.25">
      <c r="A40" s="48" t="s">
        <v>23</v>
      </c>
      <c r="B40" s="9"/>
      <c r="C40" s="2"/>
      <c r="D40" s="2"/>
      <c r="E40" s="2"/>
      <c r="F40" s="2"/>
      <c r="G40" s="2"/>
      <c r="H40" s="2"/>
      <c r="I40" s="2"/>
      <c r="J40" s="2"/>
      <c r="K40" s="2"/>
      <c r="L40" s="13"/>
      <c r="M40" s="46">
        <f t="shared" ref="M40:M48" si="3">SUM(B40:L40)</f>
        <v>0</v>
      </c>
    </row>
    <row r="41" spans="1:14" x14ac:dyDescent="0.25">
      <c r="A41" s="48" t="s">
        <v>24</v>
      </c>
      <c r="B41" s="9"/>
      <c r="C41" s="2"/>
      <c r="D41" s="2"/>
      <c r="E41" s="2"/>
      <c r="F41" s="2"/>
      <c r="G41" s="2"/>
      <c r="H41" s="2"/>
      <c r="I41" s="2"/>
      <c r="J41" s="2"/>
      <c r="K41" s="2"/>
      <c r="L41" s="13"/>
      <c r="M41" s="46">
        <f t="shared" si="3"/>
        <v>0</v>
      </c>
    </row>
    <row r="42" spans="1:14" x14ac:dyDescent="0.25">
      <c r="A42" s="48" t="s">
        <v>25</v>
      </c>
      <c r="B42" s="9"/>
      <c r="C42" s="2"/>
      <c r="D42" s="2"/>
      <c r="E42" s="2"/>
      <c r="F42" s="2"/>
      <c r="G42" s="2"/>
      <c r="H42" s="2"/>
      <c r="I42" s="2"/>
      <c r="J42" s="2"/>
      <c r="K42" s="2"/>
      <c r="L42" s="13"/>
      <c r="M42" s="46">
        <f t="shared" si="3"/>
        <v>0</v>
      </c>
    </row>
    <row r="43" spans="1:14" x14ac:dyDescent="0.25">
      <c r="A43" s="48" t="s">
        <v>26</v>
      </c>
      <c r="B43" s="9"/>
      <c r="C43" s="2"/>
      <c r="D43" s="2"/>
      <c r="E43" s="2"/>
      <c r="F43" s="2"/>
      <c r="G43" s="2"/>
      <c r="H43" s="2"/>
      <c r="I43" s="2"/>
      <c r="J43" s="2"/>
      <c r="K43" s="2"/>
      <c r="L43" s="13"/>
      <c r="M43" s="46">
        <f t="shared" si="3"/>
        <v>0</v>
      </c>
    </row>
    <row r="44" spans="1:14" x14ac:dyDescent="0.25">
      <c r="A44" s="48" t="s">
        <v>27</v>
      </c>
      <c r="B44" s="9"/>
      <c r="C44" s="2"/>
      <c r="D44" s="2"/>
      <c r="E44" s="2"/>
      <c r="F44" s="2"/>
      <c r="G44" s="2"/>
      <c r="H44" s="2"/>
      <c r="I44" s="2"/>
      <c r="J44" s="2"/>
      <c r="K44" s="2"/>
      <c r="L44" s="13"/>
      <c r="M44" s="46">
        <f t="shared" si="3"/>
        <v>0</v>
      </c>
    </row>
    <row r="45" spans="1:14" x14ac:dyDescent="0.25">
      <c r="A45" s="48" t="s">
        <v>47</v>
      </c>
      <c r="B45" s="9"/>
      <c r="C45" s="2"/>
      <c r="D45" s="2"/>
      <c r="E45" s="2"/>
      <c r="F45" s="2"/>
      <c r="G45" s="2"/>
      <c r="H45" s="2"/>
      <c r="I45" s="2"/>
      <c r="J45" s="2"/>
      <c r="K45" s="2"/>
      <c r="L45" s="13"/>
      <c r="M45" s="46">
        <f t="shared" si="3"/>
        <v>0</v>
      </c>
    </row>
    <row r="46" spans="1:14" x14ac:dyDescent="0.25">
      <c r="A46" s="48" t="s">
        <v>28</v>
      </c>
      <c r="B46" s="9"/>
      <c r="C46" s="2"/>
      <c r="D46" s="2"/>
      <c r="E46" s="2"/>
      <c r="F46" s="2"/>
      <c r="G46" s="2"/>
      <c r="H46" s="2"/>
      <c r="I46" s="2"/>
      <c r="J46" s="2"/>
      <c r="K46" s="2"/>
      <c r="L46" s="13"/>
      <c r="M46" s="46">
        <f t="shared" si="3"/>
        <v>0</v>
      </c>
    </row>
    <row r="47" spans="1:14" x14ac:dyDescent="0.25">
      <c r="A47" s="48" t="s">
        <v>30</v>
      </c>
      <c r="B47" s="9"/>
      <c r="C47" s="2"/>
      <c r="D47" s="2"/>
      <c r="E47" s="2"/>
      <c r="F47" s="2"/>
      <c r="G47" s="2"/>
      <c r="H47" s="2"/>
      <c r="I47" s="2"/>
      <c r="J47" s="2"/>
      <c r="K47" s="2"/>
      <c r="L47" s="13"/>
      <c r="M47" s="46">
        <f t="shared" si="3"/>
        <v>0</v>
      </c>
    </row>
    <row r="48" spans="1:14" ht="15.75" thickBot="1" x14ac:dyDescent="0.3">
      <c r="A48" s="48" t="s">
        <v>29</v>
      </c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2"/>
      <c r="M48" s="46">
        <f t="shared" si="3"/>
        <v>0</v>
      </c>
    </row>
    <row r="49" spans="1:13" x14ac:dyDescent="0.25">
      <c r="A49" s="48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46"/>
    </row>
    <row r="50" spans="1:13" ht="15.75" thickBot="1" x14ac:dyDescent="0.3">
      <c r="A50" s="49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0"/>
    </row>
  </sheetData>
  <mergeCells count="14">
    <mergeCell ref="B18:D18"/>
    <mergeCell ref="B19:D19"/>
    <mergeCell ref="B10:D10"/>
    <mergeCell ref="B12:D12"/>
    <mergeCell ref="B13:D13"/>
    <mergeCell ref="B15:D15"/>
    <mergeCell ref="B16:D16"/>
    <mergeCell ref="B17:E17"/>
    <mergeCell ref="B9:D9"/>
    <mergeCell ref="E1:G1"/>
    <mergeCell ref="B3:D3"/>
    <mergeCell ref="B4:D4"/>
    <mergeCell ref="B6:D6"/>
    <mergeCell ref="B7:D7"/>
  </mergeCells>
  <pageMargins left="0.7" right="0.7" top="0.75" bottom="0.75" header="0.3" footer="0.3"/>
  <pageSetup scale="4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1BB6-BBC1-45FE-B50D-FC1DE5956B57}">
  <sheetPr>
    <pageSetUpPr fitToPage="1"/>
  </sheetPr>
  <dimension ref="A1:N50"/>
  <sheetViews>
    <sheetView showGridLines="0" workbookViewId="0">
      <selection activeCell="E1" sqref="E1:G1"/>
    </sheetView>
  </sheetViews>
  <sheetFormatPr defaultRowHeight="15" x14ac:dyDescent="0.25"/>
  <cols>
    <col min="1" max="1" width="28" bestFit="1" customWidth="1"/>
    <col min="2" max="12" width="12.7109375" customWidth="1"/>
  </cols>
  <sheetData>
    <row r="1" spans="1:7" ht="59.25" customHeight="1" x14ac:dyDescent="0.55000000000000004">
      <c r="A1" s="41" t="s">
        <v>78</v>
      </c>
      <c r="B1" s="37"/>
      <c r="C1" s="37"/>
      <c r="D1" s="37"/>
      <c r="E1" s="120"/>
      <c r="F1" s="120"/>
      <c r="G1" s="120"/>
    </row>
    <row r="2" spans="1:7" x14ac:dyDescent="0.25">
      <c r="A2" s="40" t="s">
        <v>79</v>
      </c>
    </row>
    <row r="3" spans="1:7" x14ac:dyDescent="0.25">
      <c r="A3" s="35" t="s">
        <v>39</v>
      </c>
      <c r="B3" s="125" t="s">
        <v>45</v>
      </c>
      <c r="C3" s="125"/>
      <c r="D3" s="125"/>
    </row>
    <row r="4" spans="1:7" ht="46.5" x14ac:dyDescent="0.7">
      <c r="A4" s="36">
        <f>Sheet1!Y13</f>
        <v>10</v>
      </c>
      <c r="B4" s="127">
        <f>Sheet1!F13</f>
        <v>0</v>
      </c>
      <c r="C4" s="127"/>
      <c r="D4" s="127"/>
      <c r="E4" s="38"/>
    </row>
    <row r="5" spans="1:7" ht="15" customHeight="1" x14ac:dyDescent="0.25"/>
    <row r="6" spans="1:7" x14ac:dyDescent="0.25">
      <c r="A6" s="53" t="s">
        <v>51</v>
      </c>
      <c r="B6" s="129" t="s">
        <v>41</v>
      </c>
      <c r="C6" s="129"/>
      <c r="D6" s="129"/>
    </row>
    <row r="7" spans="1:7" ht="46.5" x14ac:dyDescent="0.7">
      <c r="A7" s="54">
        <f>Sheet1!P13</f>
        <v>0</v>
      </c>
      <c r="B7" s="128">
        <f>IFERROR(Sheet1!D13/Sheet1!B13, 0)</f>
        <v>0</v>
      </c>
      <c r="C7" s="128"/>
      <c r="D7" s="128"/>
      <c r="E7" s="43"/>
    </row>
    <row r="8" spans="1:7" ht="15" customHeight="1" x14ac:dyDescent="0.25">
      <c r="A8" s="43"/>
      <c r="B8" s="43"/>
      <c r="C8" s="43"/>
      <c r="D8" s="43"/>
      <c r="E8" s="43"/>
    </row>
    <row r="9" spans="1:7" x14ac:dyDescent="0.25">
      <c r="A9" s="56" t="s">
        <v>40</v>
      </c>
      <c r="B9" s="130" t="s">
        <v>42</v>
      </c>
      <c r="C9" s="130"/>
      <c r="D9" s="130"/>
      <c r="E9" s="43"/>
    </row>
    <row r="10" spans="1:7" ht="46.5" x14ac:dyDescent="0.7">
      <c r="A10" s="57">
        <f>IFERROR(AVERAGE(Sheet1!B33,Sheet1!E33,Sheet1!H33,Sheet1!K33,Sheet1!N33,Sheet1!Q33,Sheet1!T33,Sheet1!W33,Sheet1!Z33,Sheet1!AC33,Sheet1!AF33), 0)</f>
        <v>0</v>
      </c>
      <c r="B10" s="131">
        <f>IFERROR(AVERAGE(Sheet1!C33,Sheet1!F33,Sheet1!I33,Sheet1!L33,Sheet1!O33,Sheet1!R33,Sheet1!U33,Sheet1!X33,Sheet1!AA33,Sheet1!AD33,Sheet1!AG33), 0)</f>
        <v>0</v>
      </c>
      <c r="C10" s="131"/>
      <c r="D10" s="131"/>
      <c r="E10" s="39"/>
    </row>
    <row r="11" spans="1:7" x14ac:dyDescent="0.25">
      <c r="A11" s="42"/>
      <c r="B11" s="34"/>
      <c r="C11" s="34"/>
      <c r="D11" s="34"/>
      <c r="E11" s="34"/>
    </row>
    <row r="12" spans="1:7" x14ac:dyDescent="0.25">
      <c r="A12" s="58" t="s">
        <v>62</v>
      </c>
      <c r="B12" s="121" t="s">
        <v>63</v>
      </c>
      <c r="C12" s="121"/>
      <c r="D12" s="121"/>
    </row>
    <row r="13" spans="1:7" ht="46.5" x14ac:dyDescent="0.7">
      <c r="A13" s="59">
        <f>AVERAGE(Sheet1!D33,Sheet1!G33,Sheet1!J33,Sheet1!M33,Sheet1!P33,Sheet1!S33,Sheet1!V33,Sheet1!Y33,Sheet1!AB33,Sheet1!AE33)</f>
        <v>0</v>
      </c>
      <c r="B13" s="132" t="e">
        <f>AVERAGE(B27:L36)</f>
        <v>#DIV/0!</v>
      </c>
      <c r="C13" s="132"/>
      <c r="D13" s="132"/>
    </row>
    <row r="15" spans="1:7" x14ac:dyDescent="0.25">
      <c r="A15" s="60" t="s">
        <v>43</v>
      </c>
      <c r="B15" s="123" t="s">
        <v>44</v>
      </c>
      <c r="C15" s="123"/>
      <c r="D15" s="123"/>
      <c r="E15" s="55"/>
    </row>
    <row r="16" spans="1:7" ht="46.5" customHeight="1" x14ac:dyDescent="0.7">
      <c r="A16" s="77">
        <f>MAX(B23:L23)</f>
        <v>0</v>
      </c>
      <c r="B16" s="126">
        <v>0</v>
      </c>
      <c r="C16" s="126"/>
      <c r="D16" s="126"/>
      <c r="E16" s="38"/>
    </row>
    <row r="17" spans="1:14" x14ac:dyDescent="0.25">
      <c r="B17" s="124"/>
      <c r="C17" s="124"/>
      <c r="D17" s="124"/>
      <c r="E17" s="124"/>
    </row>
    <row r="18" spans="1:14" x14ac:dyDescent="0.25">
      <c r="A18" s="61" t="s">
        <v>38</v>
      </c>
      <c r="B18" s="118" t="s">
        <v>46</v>
      </c>
      <c r="C18" s="118"/>
      <c r="D18" s="118"/>
    </row>
    <row r="19" spans="1:14" ht="46.5" customHeight="1" x14ac:dyDescent="0.35">
      <c r="A19" s="62" t="str">
        <f>INDEX(A27:A36, MATCH(MAX(M27:M36), M27:M36, 0))</f>
        <v>Edward Wearing</v>
      </c>
      <c r="B19" s="119" t="str">
        <f>INDEX(A39:A48, MATCH(MAX(M39:M48), M39:M48, 0))</f>
        <v>Edward Wearing</v>
      </c>
      <c r="C19" s="119"/>
      <c r="D19" s="119"/>
      <c r="E19" s="38"/>
    </row>
    <row r="20" spans="1:14" ht="15.75" thickBot="1" x14ac:dyDescent="0.3">
      <c r="C20" s="38"/>
      <c r="D20" s="38"/>
      <c r="E20" s="38"/>
    </row>
    <row r="21" spans="1:14" ht="15.75" thickBot="1" x14ac:dyDescent="0.3">
      <c r="A21" s="44" t="s">
        <v>31</v>
      </c>
      <c r="B21" s="66">
        <v>46048</v>
      </c>
      <c r="C21" s="66">
        <v>46074</v>
      </c>
      <c r="D21" s="66">
        <v>46102</v>
      </c>
      <c r="E21" s="66">
        <v>46138</v>
      </c>
      <c r="F21" s="66">
        <v>46165</v>
      </c>
      <c r="G21" s="66">
        <v>46203</v>
      </c>
      <c r="H21" s="66">
        <v>46229</v>
      </c>
      <c r="I21" s="66">
        <v>46256</v>
      </c>
      <c r="J21" s="66">
        <v>46291</v>
      </c>
      <c r="K21" s="66">
        <v>46321</v>
      </c>
      <c r="L21" s="67" t="s">
        <v>67</v>
      </c>
      <c r="M21" s="45"/>
    </row>
    <row r="22" spans="1:14" x14ac:dyDescent="0.25">
      <c r="A22" s="47" t="s">
        <v>68</v>
      </c>
      <c r="B22" s="68"/>
      <c r="C22" s="69"/>
      <c r="D22" s="69"/>
      <c r="E22" s="69"/>
      <c r="F22" s="69"/>
      <c r="G22" s="69"/>
      <c r="H22" s="69"/>
      <c r="I22" s="69"/>
      <c r="J22" s="69"/>
      <c r="K22" s="69"/>
      <c r="L22" s="70"/>
      <c r="M22" s="46"/>
    </row>
    <row r="23" spans="1:14" x14ac:dyDescent="0.25">
      <c r="A23" s="47" t="s">
        <v>4</v>
      </c>
      <c r="B23" s="71"/>
      <c r="C23" s="72"/>
      <c r="D23" s="72"/>
      <c r="E23" s="72"/>
      <c r="F23" s="72"/>
      <c r="G23" s="72"/>
      <c r="H23" s="72"/>
      <c r="I23" s="72"/>
      <c r="J23" s="72"/>
      <c r="K23" s="72"/>
      <c r="L23" s="73"/>
      <c r="M23" s="46"/>
    </row>
    <row r="24" spans="1:14" ht="15.75" thickBot="1" x14ac:dyDescent="0.3">
      <c r="A24" s="47" t="s">
        <v>5</v>
      </c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6"/>
      <c r="M24" s="46"/>
    </row>
    <row r="25" spans="1:14" x14ac:dyDescent="0.25">
      <c r="A25" s="80" t="s">
        <v>8</v>
      </c>
      <c r="B25" s="78">
        <f>Sheet1!C33-B22</f>
        <v>0</v>
      </c>
      <c r="C25" s="78">
        <f>Sheet1!F33-C22</f>
        <v>0</v>
      </c>
      <c r="D25" s="78">
        <f>Sheet1!I33-D22</f>
        <v>0</v>
      </c>
      <c r="E25" s="78">
        <f>Sheet1!L33-E22</f>
        <v>0</v>
      </c>
      <c r="F25" s="78">
        <f>Sheet1!O33-F22</f>
        <v>0</v>
      </c>
      <c r="G25" s="78">
        <f>Sheet1!R33-G22</f>
        <v>0</v>
      </c>
      <c r="H25" s="78">
        <f>Sheet1!U33-H22</f>
        <v>0</v>
      </c>
      <c r="I25" s="78">
        <f>Sheet1!X33-I22</f>
        <v>0</v>
      </c>
      <c r="J25" s="78">
        <f>Sheet1!AA33-J22</f>
        <v>0</v>
      </c>
      <c r="K25" s="78">
        <f>Sheet1!AD33-K22</f>
        <v>0</v>
      </c>
      <c r="L25" s="78">
        <f>Sheet1!AG33-L22</f>
        <v>0</v>
      </c>
      <c r="M25" s="46"/>
    </row>
    <row r="26" spans="1:14" ht="15.75" thickBot="1" x14ac:dyDescent="0.3">
      <c r="A26" s="47" t="s">
        <v>36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46" t="s">
        <v>64</v>
      </c>
    </row>
    <row r="27" spans="1:14" x14ac:dyDescent="0.25">
      <c r="A27" s="48" t="s">
        <v>22</v>
      </c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2"/>
      <c r="M27" s="46">
        <f>SUM(B30:L30)</f>
        <v>0</v>
      </c>
      <c r="N27" s="33">
        <f>M30-M39</f>
        <v>0</v>
      </c>
    </row>
    <row r="28" spans="1:14" x14ac:dyDescent="0.25">
      <c r="A28" s="48" t="s">
        <v>23</v>
      </c>
      <c r="B28" s="9"/>
      <c r="C28" s="2"/>
      <c r="D28" s="2"/>
      <c r="E28" s="2"/>
      <c r="F28" s="2"/>
      <c r="G28" s="2"/>
      <c r="H28" s="2"/>
      <c r="I28" s="2"/>
      <c r="J28" s="2"/>
      <c r="K28" s="2"/>
      <c r="L28" s="13"/>
      <c r="M28" s="46">
        <f>SUM(B30:L30)</f>
        <v>0</v>
      </c>
      <c r="N28" s="33">
        <f>M30-M40</f>
        <v>0</v>
      </c>
    </row>
    <row r="29" spans="1:14" x14ac:dyDescent="0.25">
      <c r="A29" s="48" t="s">
        <v>24</v>
      </c>
      <c r="B29" s="9"/>
      <c r="C29" s="2"/>
      <c r="D29" s="2"/>
      <c r="E29" s="2"/>
      <c r="F29" s="2"/>
      <c r="G29" s="2"/>
      <c r="H29" s="2"/>
      <c r="I29" s="2"/>
      <c r="J29" s="2"/>
      <c r="K29" s="2"/>
      <c r="L29" s="13"/>
      <c r="M29" s="46">
        <f>SUM(B30:L30)</f>
        <v>0</v>
      </c>
      <c r="N29" s="33">
        <f>M30-M41</f>
        <v>0</v>
      </c>
    </row>
    <row r="30" spans="1:14" x14ac:dyDescent="0.25">
      <c r="A30" s="48" t="s">
        <v>25</v>
      </c>
      <c r="B30" s="9"/>
      <c r="C30" s="2"/>
      <c r="D30" s="2"/>
      <c r="E30" s="2"/>
      <c r="F30" s="2"/>
      <c r="G30" s="2"/>
      <c r="H30" s="2"/>
      <c r="I30" s="2"/>
      <c r="J30" s="2"/>
      <c r="K30" s="2"/>
      <c r="L30" s="13"/>
      <c r="M30" s="46">
        <f t="shared" ref="M30:M35" si="0">SUM(B30:L30)</f>
        <v>0</v>
      </c>
      <c r="N30" s="33">
        <f t="shared" ref="N30:N36" si="1">M30-M42</f>
        <v>0</v>
      </c>
    </row>
    <row r="31" spans="1:14" x14ac:dyDescent="0.25">
      <c r="A31" s="48" t="s">
        <v>26</v>
      </c>
      <c r="B31" s="9"/>
      <c r="C31" s="2"/>
      <c r="D31" s="2"/>
      <c r="E31" s="2"/>
      <c r="F31" s="2"/>
      <c r="G31" s="2"/>
      <c r="H31" s="2"/>
      <c r="I31" s="2"/>
      <c r="J31" s="2"/>
      <c r="K31" s="2"/>
      <c r="L31" s="13"/>
      <c r="M31" s="46">
        <f t="shared" si="0"/>
        <v>0</v>
      </c>
      <c r="N31" s="33">
        <f t="shared" si="1"/>
        <v>0</v>
      </c>
    </row>
    <row r="32" spans="1:14" x14ac:dyDescent="0.25">
      <c r="A32" s="48" t="s">
        <v>75</v>
      </c>
      <c r="B32" s="9"/>
      <c r="C32" s="2"/>
      <c r="D32" s="2"/>
      <c r="E32" s="2"/>
      <c r="F32" s="2"/>
      <c r="G32" s="2"/>
      <c r="H32" s="2"/>
      <c r="I32" s="2"/>
      <c r="J32" s="2"/>
      <c r="K32" s="2"/>
      <c r="L32" s="13"/>
      <c r="M32" s="46">
        <f t="shared" si="0"/>
        <v>0</v>
      </c>
      <c r="N32" s="33">
        <f t="shared" si="1"/>
        <v>0</v>
      </c>
    </row>
    <row r="33" spans="1:14" x14ac:dyDescent="0.25">
      <c r="A33" s="48" t="s">
        <v>47</v>
      </c>
      <c r="B33" s="9"/>
      <c r="C33" s="2"/>
      <c r="D33" s="2"/>
      <c r="E33" s="2"/>
      <c r="F33" s="2"/>
      <c r="G33" s="2"/>
      <c r="H33" s="2"/>
      <c r="I33" s="2"/>
      <c r="J33" s="2"/>
      <c r="K33" s="2"/>
      <c r="L33" s="13"/>
      <c r="M33" s="46">
        <f t="shared" si="0"/>
        <v>0</v>
      </c>
      <c r="N33" s="33">
        <f t="shared" si="1"/>
        <v>0</v>
      </c>
    </row>
    <row r="34" spans="1:14" x14ac:dyDescent="0.25">
      <c r="A34" s="48" t="s">
        <v>28</v>
      </c>
      <c r="B34" s="9"/>
      <c r="C34" s="2"/>
      <c r="D34" s="2"/>
      <c r="E34" s="2"/>
      <c r="F34" s="2"/>
      <c r="G34" s="2"/>
      <c r="H34" s="2"/>
      <c r="I34" s="2"/>
      <c r="J34" s="2"/>
      <c r="K34" s="2"/>
      <c r="L34" s="13"/>
      <c r="M34" s="46">
        <f t="shared" si="0"/>
        <v>0</v>
      </c>
      <c r="N34" s="33">
        <f t="shared" si="1"/>
        <v>0</v>
      </c>
    </row>
    <row r="35" spans="1:14" x14ac:dyDescent="0.25">
      <c r="A35" s="48" t="s">
        <v>30</v>
      </c>
      <c r="B35" s="9"/>
      <c r="C35" s="2"/>
      <c r="D35" s="2"/>
      <c r="E35" s="2"/>
      <c r="F35" s="2"/>
      <c r="G35" s="2"/>
      <c r="H35" s="2"/>
      <c r="I35" s="2"/>
      <c r="J35" s="2"/>
      <c r="K35" s="2"/>
      <c r="L35" s="13"/>
      <c r="M35" s="46">
        <f t="shared" si="0"/>
        <v>0</v>
      </c>
      <c r="N35" s="33">
        <f t="shared" si="1"/>
        <v>0</v>
      </c>
    </row>
    <row r="36" spans="1:14" ht="15.75" thickBot="1" x14ac:dyDescent="0.3">
      <c r="A36" s="48" t="s">
        <v>29</v>
      </c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2"/>
      <c r="M36" s="46">
        <f>SUM(B36:L36)</f>
        <v>0</v>
      </c>
      <c r="N36" s="33">
        <f t="shared" si="1"/>
        <v>0</v>
      </c>
    </row>
    <row r="37" spans="1:14" x14ac:dyDescent="0.25">
      <c r="A37" s="48" t="s">
        <v>64</v>
      </c>
      <c r="B37" s="51">
        <f t="shared" ref="B37:L37" si="2">SUM(B30:B36)</f>
        <v>0</v>
      </c>
      <c r="C37" s="51">
        <f t="shared" si="2"/>
        <v>0</v>
      </c>
      <c r="D37" s="51">
        <f t="shared" si="2"/>
        <v>0</v>
      </c>
      <c r="E37" s="51">
        <f t="shared" si="2"/>
        <v>0</v>
      </c>
      <c r="F37" s="51">
        <f t="shared" si="2"/>
        <v>0</v>
      </c>
      <c r="G37" s="51">
        <f t="shared" si="2"/>
        <v>0</v>
      </c>
      <c r="H37" s="51">
        <f t="shared" si="2"/>
        <v>0</v>
      </c>
      <c r="I37" s="51">
        <f t="shared" si="2"/>
        <v>0</v>
      </c>
      <c r="J37" s="51">
        <f t="shared" si="2"/>
        <v>0</v>
      </c>
      <c r="K37" s="51">
        <f t="shared" si="2"/>
        <v>0</v>
      </c>
      <c r="L37" s="51">
        <f t="shared" si="2"/>
        <v>0</v>
      </c>
      <c r="M37" s="46"/>
      <c r="N37" s="33"/>
    </row>
    <row r="38" spans="1:14" ht="15.75" thickBot="1" x14ac:dyDescent="0.3">
      <c r="A38" s="47" t="s">
        <v>37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46" t="s">
        <v>64</v>
      </c>
    </row>
    <row r="39" spans="1:14" x14ac:dyDescent="0.25">
      <c r="A39" s="48" t="s">
        <v>22</v>
      </c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2"/>
      <c r="M39" s="46">
        <f>SUM(B39:L39)</f>
        <v>0</v>
      </c>
    </row>
    <row r="40" spans="1:14" x14ac:dyDescent="0.25">
      <c r="A40" s="48" t="s">
        <v>23</v>
      </c>
      <c r="B40" s="9"/>
      <c r="C40" s="2"/>
      <c r="D40" s="2"/>
      <c r="E40" s="2"/>
      <c r="F40" s="2"/>
      <c r="G40" s="2"/>
      <c r="H40" s="2"/>
      <c r="I40" s="2"/>
      <c r="J40" s="2"/>
      <c r="K40" s="2"/>
      <c r="L40" s="13"/>
      <c r="M40" s="46">
        <f t="shared" ref="M40:M48" si="3">SUM(B40:L40)</f>
        <v>0</v>
      </c>
    </row>
    <row r="41" spans="1:14" x14ac:dyDescent="0.25">
      <c r="A41" s="48" t="s">
        <v>24</v>
      </c>
      <c r="B41" s="9"/>
      <c r="C41" s="2"/>
      <c r="D41" s="2"/>
      <c r="E41" s="2"/>
      <c r="F41" s="2"/>
      <c r="G41" s="2"/>
      <c r="H41" s="2"/>
      <c r="I41" s="2"/>
      <c r="J41" s="2"/>
      <c r="K41" s="2"/>
      <c r="L41" s="13"/>
      <c r="M41" s="46">
        <f t="shared" si="3"/>
        <v>0</v>
      </c>
    </row>
    <row r="42" spans="1:14" x14ac:dyDescent="0.25">
      <c r="A42" s="48" t="s">
        <v>25</v>
      </c>
      <c r="B42" s="9"/>
      <c r="C42" s="2"/>
      <c r="D42" s="2"/>
      <c r="E42" s="2"/>
      <c r="F42" s="2"/>
      <c r="G42" s="2"/>
      <c r="H42" s="2"/>
      <c r="I42" s="2"/>
      <c r="J42" s="2"/>
      <c r="K42" s="2"/>
      <c r="L42" s="13"/>
      <c r="M42" s="46">
        <f t="shared" si="3"/>
        <v>0</v>
      </c>
    </row>
    <row r="43" spans="1:14" x14ac:dyDescent="0.25">
      <c r="A43" s="48" t="s">
        <v>26</v>
      </c>
      <c r="B43" s="9"/>
      <c r="C43" s="2"/>
      <c r="D43" s="2"/>
      <c r="E43" s="2"/>
      <c r="F43" s="2"/>
      <c r="G43" s="2"/>
      <c r="H43" s="2"/>
      <c r="I43" s="2"/>
      <c r="J43" s="2"/>
      <c r="K43" s="2"/>
      <c r="L43" s="13"/>
      <c r="M43" s="46">
        <f t="shared" si="3"/>
        <v>0</v>
      </c>
    </row>
    <row r="44" spans="1:14" x14ac:dyDescent="0.25">
      <c r="A44" s="48" t="s">
        <v>75</v>
      </c>
      <c r="B44" s="9"/>
      <c r="C44" s="2"/>
      <c r="D44" s="2"/>
      <c r="E44" s="2"/>
      <c r="F44" s="2"/>
      <c r="G44" s="2"/>
      <c r="H44" s="2"/>
      <c r="I44" s="2"/>
      <c r="J44" s="2"/>
      <c r="K44" s="2"/>
      <c r="L44" s="13"/>
      <c r="M44" s="46">
        <f t="shared" si="3"/>
        <v>0</v>
      </c>
    </row>
    <row r="45" spans="1:14" x14ac:dyDescent="0.25">
      <c r="A45" s="48" t="s">
        <v>47</v>
      </c>
      <c r="B45" s="9"/>
      <c r="C45" s="2"/>
      <c r="D45" s="2"/>
      <c r="E45" s="2"/>
      <c r="F45" s="2"/>
      <c r="G45" s="2"/>
      <c r="H45" s="2"/>
      <c r="I45" s="2"/>
      <c r="J45" s="2"/>
      <c r="K45" s="2"/>
      <c r="L45" s="13"/>
      <c r="M45" s="46">
        <f t="shared" si="3"/>
        <v>0</v>
      </c>
    </row>
    <row r="46" spans="1:14" x14ac:dyDescent="0.25">
      <c r="A46" s="48" t="s">
        <v>28</v>
      </c>
      <c r="B46" s="9"/>
      <c r="C46" s="2"/>
      <c r="D46" s="2"/>
      <c r="E46" s="2"/>
      <c r="F46" s="2"/>
      <c r="G46" s="2"/>
      <c r="H46" s="2"/>
      <c r="I46" s="2"/>
      <c r="J46" s="2"/>
      <c r="K46" s="2"/>
      <c r="L46" s="13"/>
      <c r="M46" s="46">
        <f t="shared" si="3"/>
        <v>0</v>
      </c>
    </row>
    <row r="47" spans="1:14" x14ac:dyDescent="0.25">
      <c r="A47" s="48" t="s">
        <v>30</v>
      </c>
      <c r="B47" s="9"/>
      <c r="C47" s="2"/>
      <c r="D47" s="2"/>
      <c r="E47" s="2"/>
      <c r="F47" s="2"/>
      <c r="G47" s="2"/>
      <c r="H47" s="2"/>
      <c r="I47" s="2"/>
      <c r="J47" s="2"/>
      <c r="K47" s="2"/>
      <c r="L47" s="13"/>
      <c r="M47" s="46">
        <f t="shared" si="3"/>
        <v>0</v>
      </c>
    </row>
    <row r="48" spans="1:14" ht="15.75" thickBot="1" x14ac:dyDescent="0.3">
      <c r="A48" s="48" t="s">
        <v>29</v>
      </c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2"/>
      <c r="M48" s="46">
        <f t="shared" si="3"/>
        <v>0</v>
      </c>
    </row>
    <row r="49" spans="1:13" x14ac:dyDescent="0.25">
      <c r="A49" s="48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46"/>
    </row>
    <row r="50" spans="1:13" ht="15.75" thickBot="1" x14ac:dyDescent="0.3">
      <c r="A50" s="49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0"/>
    </row>
  </sheetData>
  <mergeCells count="14">
    <mergeCell ref="B18:D18"/>
    <mergeCell ref="B19:D19"/>
    <mergeCell ref="B10:D10"/>
    <mergeCell ref="B12:D12"/>
    <mergeCell ref="B13:D13"/>
    <mergeCell ref="B15:D15"/>
    <mergeCell ref="B16:D16"/>
    <mergeCell ref="B17:E17"/>
    <mergeCell ref="B9:D9"/>
    <mergeCell ref="E1:G1"/>
    <mergeCell ref="B3:D3"/>
    <mergeCell ref="B4:D4"/>
    <mergeCell ref="B6:D6"/>
    <mergeCell ref="B7:D7"/>
  </mergeCells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9C627-9F87-4636-8B57-96266804C171}">
  <sheetPr>
    <pageSetUpPr fitToPage="1"/>
  </sheetPr>
  <dimension ref="A1:N50"/>
  <sheetViews>
    <sheetView showGridLines="0" workbookViewId="0">
      <selection activeCell="E1" sqref="E1:G1"/>
    </sheetView>
  </sheetViews>
  <sheetFormatPr defaultRowHeight="15" x14ac:dyDescent="0.25"/>
  <cols>
    <col min="1" max="1" width="28" bestFit="1" customWidth="1"/>
    <col min="2" max="12" width="12.7109375" customWidth="1"/>
  </cols>
  <sheetData>
    <row r="1" spans="1:7" ht="59.25" customHeight="1" x14ac:dyDescent="0.55000000000000004">
      <c r="A1" s="41" t="s">
        <v>80</v>
      </c>
      <c r="B1" s="37"/>
      <c r="C1" s="37"/>
      <c r="D1" s="37"/>
      <c r="E1" s="120"/>
      <c r="F1" s="120"/>
      <c r="G1" s="120"/>
    </row>
    <row r="2" spans="1:7" x14ac:dyDescent="0.25">
      <c r="A2" s="40" t="s">
        <v>81</v>
      </c>
    </row>
    <row r="3" spans="1:7" x14ac:dyDescent="0.25">
      <c r="A3" s="35" t="s">
        <v>39</v>
      </c>
      <c r="B3" s="125" t="s">
        <v>45</v>
      </c>
      <c r="C3" s="125"/>
      <c r="D3" s="125"/>
    </row>
    <row r="4" spans="1:7" ht="46.5" x14ac:dyDescent="0.7">
      <c r="A4" s="36">
        <f>Sheet1!Y14</f>
        <v>10</v>
      </c>
      <c r="B4" s="127">
        <f>Sheet1!F14</f>
        <v>0</v>
      </c>
      <c r="C4" s="127"/>
      <c r="D4" s="127"/>
      <c r="E4" s="38"/>
    </row>
    <row r="5" spans="1:7" ht="15" customHeight="1" x14ac:dyDescent="0.25"/>
    <row r="6" spans="1:7" x14ac:dyDescent="0.25">
      <c r="A6" s="53" t="s">
        <v>51</v>
      </c>
      <c r="B6" s="129" t="s">
        <v>41</v>
      </c>
      <c r="C6" s="129"/>
      <c r="D6" s="129"/>
    </row>
    <row r="7" spans="1:7" ht="46.5" x14ac:dyDescent="0.7">
      <c r="A7" s="54">
        <f>Sheet1!P14</f>
        <v>0</v>
      </c>
      <c r="B7" s="128">
        <f>IFERROR(Sheet1!D14/Sheet1!B14, 0)</f>
        <v>0</v>
      </c>
      <c r="C7" s="128"/>
      <c r="D7" s="128"/>
      <c r="E7" s="43"/>
    </row>
    <row r="8" spans="1:7" ht="15" customHeight="1" x14ac:dyDescent="0.25">
      <c r="A8" s="43"/>
      <c r="B8" s="43"/>
      <c r="C8" s="43"/>
      <c r="D8" s="43"/>
      <c r="E8" s="43"/>
    </row>
    <row r="9" spans="1:7" x14ac:dyDescent="0.25">
      <c r="A9" s="56" t="s">
        <v>40</v>
      </c>
      <c r="B9" s="130" t="s">
        <v>42</v>
      </c>
      <c r="C9" s="130"/>
      <c r="D9" s="130"/>
      <c r="E9" s="43"/>
    </row>
    <row r="10" spans="1:7" ht="46.5" x14ac:dyDescent="0.7">
      <c r="A10" s="57">
        <f>IFERROR(AVERAGE(Sheet1!B34,Sheet1!E34,Sheet1!H34,Sheet1!K34,Sheet1!N34,Sheet1!Q34,Sheet1!T34,Sheet1!W34,Sheet1!Z34,Sheet1!AC34,Sheet1!AF34), 0)</f>
        <v>0</v>
      </c>
      <c r="B10" s="131">
        <f>IFERROR(AVERAGE(Sheet1!C34,Sheet1!F34,Sheet1!I34,Sheet1!L34,Sheet1!O34,Sheet1!R34,Sheet1!U34,Sheet1!X34,Sheet1!AA34,Sheet1!AD34,Sheet1!AG34), 0)</f>
        <v>0</v>
      </c>
      <c r="C10" s="131"/>
      <c r="D10" s="131"/>
      <c r="E10" s="39"/>
    </row>
    <row r="11" spans="1:7" x14ac:dyDescent="0.25">
      <c r="A11" s="42"/>
      <c r="B11" s="34"/>
      <c r="C11" s="34"/>
      <c r="D11" s="34"/>
      <c r="E11" s="34"/>
    </row>
    <row r="12" spans="1:7" x14ac:dyDescent="0.25">
      <c r="A12" s="58" t="s">
        <v>62</v>
      </c>
      <c r="B12" s="121" t="s">
        <v>63</v>
      </c>
      <c r="C12" s="121"/>
      <c r="D12" s="121"/>
    </row>
    <row r="13" spans="1:7" ht="46.5" x14ac:dyDescent="0.7">
      <c r="A13" s="59">
        <f>AVERAGE(Sheet1!D34,Sheet1!G34,Sheet1!J34,Sheet1!M34,Sheet1!P34,Sheet1!S34,Sheet1!V34,Sheet1!Y34,Sheet1!AB34,Sheet1!AE34)</f>
        <v>0</v>
      </c>
      <c r="B13" s="132" t="e">
        <f>AVERAGE(B27:L36)</f>
        <v>#DIV/0!</v>
      </c>
      <c r="C13" s="132"/>
      <c r="D13" s="132"/>
    </row>
    <row r="15" spans="1:7" x14ac:dyDescent="0.25">
      <c r="A15" s="60" t="s">
        <v>43</v>
      </c>
      <c r="B15" s="123" t="s">
        <v>44</v>
      </c>
      <c r="C15" s="123"/>
      <c r="D15" s="123"/>
      <c r="E15" s="55"/>
    </row>
    <row r="16" spans="1:7" ht="46.5" customHeight="1" x14ac:dyDescent="0.7">
      <c r="A16" s="77">
        <f>MAX(B23:L23)</f>
        <v>0</v>
      </c>
      <c r="B16" s="126">
        <v>0</v>
      </c>
      <c r="C16" s="126"/>
      <c r="D16" s="126"/>
      <c r="E16" s="38"/>
    </row>
    <row r="17" spans="1:14" x14ac:dyDescent="0.25">
      <c r="B17" s="124"/>
      <c r="C17" s="124"/>
      <c r="D17" s="124"/>
      <c r="E17" s="124"/>
    </row>
    <row r="18" spans="1:14" x14ac:dyDescent="0.25">
      <c r="A18" s="61" t="s">
        <v>38</v>
      </c>
      <c r="B18" s="118" t="s">
        <v>46</v>
      </c>
      <c r="C18" s="118"/>
      <c r="D18" s="118"/>
    </row>
    <row r="19" spans="1:14" ht="46.5" customHeight="1" x14ac:dyDescent="0.35">
      <c r="A19" s="62" t="str">
        <f>INDEX(A27:A36, MATCH(MAX(M27:M36), M27:M36, 0))</f>
        <v>Edward Wearing</v>
      </c>
      <c r="B19" s="119" t="str">
        <f>INDEX(A39:A48, MATCH(MAX(M39:M48), M39:M48, 0))</f>
        <v>Edward Wearing</v>
      </c>
      <c r="C19" s="119"/>
      <c r="D19" s="119"/>
      <c r="E19" s="38"/>
    </row>
    <row r="20" spans="1:14" ht="15.75" thickBot="1" x14ac:dyDescent="0.3">
      <c r="C20" s="38"/>
      <c r="D20" s="38"/>
      <c r="E20" s="38"/>
    </row>
    <row r="21" spans="1:14" ht="15.75" thickBot="1" x14ac:dyDescent="0.3">
      <c r="A21" s="44" t="s">
        <v>31</v>
      </c>
      <c r="B21" s="66">
        <v>46048</v>
      </c>
      <c r="C21" s="66">
        <v>46074</v>
      </c>
      <c r="D21" s="66">
        <v>46102</v>
      </c>
      <c r="E21" s="66">
        <v>46138</v>
      </c>
      <c r="F21" s="66">
        <v>46165</v>
      </c>
      <c r="G21" s="66" t="s">
        <v>82</v>
      </c>
      <c r="H21" s="66">
        <v>46229</v>
      </c>
      <c r="I21" s="66">
        <v>46256</v>
      </c>
      <c r="J21" s="66">
        <v>46291</v>
      </c>
      <c r="K21" s="66">
        <v>46321</v>
      </c>
      <c r="L21" s="67" t="s">
        <v>67</v>
      </c>
      <c r="M21" s="45"/>
    </row>
    <row r="22" spans="1:14" x14ac:dyDescent="0.25">
      <c r="A22" s="47" t="s">
        <v>68</v>
      </c>
      <c r="B22" s="68"/>
      <c r="C22" s="69"/>
      <c r="D22" s="69"/>
      <c r="E22" s="69"/>
      <c r="F22" s="69"/>
      <c r="G22" s="69"/>
      <c r="H22" s="69"/>
      <c r="I22" s="69"/>
      <c r="J22" s="69"/>
      <c r="K22" s="69"/>
      <c r="L22" s="70"/>
      <c r="M22" s="46"/>
    </row>
    <row r="23" spans="1:14" x14ac:dyDescent="0.25">
      <c r="A23" s="47" t="s">
        <v>4</v>
      </c>
      <c r="B23" s="71"/>
      <c r="C23" s="72"/>
      <c r="D23" s="72"/>
      <c r="E23" s="72"/>
      <c r="F23" s="72"/>
      <c r="G23" s="72"/>
      <c r="H23" s="72"/>
      <c r="I23" s="72"/>
      <c r="J23" s="72"/>
      <c r="K23" s="72"/>
      <c r="L23" s="73"/>
      <c r="M23" s="46"/>
    </row>
    <row r="24" spans="1:14" ht="15.75" thickBot="1" x14ac:dyDescent="0.3">
      <c r="A24" s="47" t="s">
        <v>5</v>
      </c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6"/>
      <c r="M24" s="46"/>
    </row>
    <row r="25" spans="1:14" x14ac:dyDescent="0.25">
      <c r="A25" s="80" t="s">
        <v>8</v>
      </c>
      <c r="B25" s="78">
        <f>Sheet1!C34-B22</f>
        <v>0</v>
      </c>
      <c r="C25" s="78">
        <f>Sheet1!F34-C22</f>
        <v>0</v>
      </c>
      <c r="D25" s="78">
        <f>Sheet1!I34-D22</f>
        <v>0</v>
      </c>
      <c r="E25" s="78">
        <f>Sheet1!L34-E22</f>
        <v>0</v>
      </c>
      <c r="F25" s="78">
        <f>Sheet1!O34-F22</f>
        <v>0</v>
      </c>
      <c r="G25" s="78">
        <f>Sheet1!R34-G22</f>
        <v>0</v>
      </c>
      <c r="H25" s="78">
        <f>Sheet1!U34-H22</f>
        <v>0</v>
      </c>
      <c r="I25" s="78">
        <f>Sheet1!X34-I22</f>
        <v>0</v>
      </c>
      <c r="J25" s="78">
        <f>Sheet1!AA34-J22</f>
        <v>0</v>
      </c>
      <c r="K25" s="78">
        <f>Sheet1!AD34-K22</f>
        <v>0</v>
      </c>
      <c r="L25" s="78">
        <f>Sheet1!AG34-L22</f>
        <v>0</v>
      </c>
      <c r="M25" s="46"/>
    </row>
    <row r="26" spans="1:14" ht="15.75" thickBot="1" x14ac:dyDescent="0.3">
      <c r="A26" s="47" t="s">
        <v>36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46" t="s">
        <v>64</v>
      </c>
    </row>
    <row r="27" spans="1:14" x14ac:dyDescent="0.25">
      <c r="A27" s="48" t="s">
        <v>22</v>
      </c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2"/>
      <c r="M27" s="46">
        <f>SUM(B31:L31)</f>
        <v>0</v>
      </c>
      <c r="N27" s="33">
        <f>M31-M39</f>
        <v>0</v>
      </c>
    </row>
    <row r="28" spans="1:14" x14ac:dyDescent="0.25">
      <c r="A28" s="48" t="s">
        <v>23</v>
      </c>
      <c r="B28" s="9"/>
      <c r="C28" s="2"/>
      <c r="D28" s="2"/>
      <c r="E28" s="2"/>
      <c r="F28" s="2"/>
      <c r="G28" s="2"/>
      <c r="H28" s="2"/>
      <c r="I28" s="2"/>
      <c r="J28" s="2"/>
      <c r="K28" s="2"/>
      <c r="L28" s="13"/>
      <c r="M28" s="46">
        <f>SUM(B31:L31)</f>
        <v>0</v>
      </c>
      <c r="N28" s="33">
        <f>M31-M40</f>
        <v>0</v>
      </c>
    </row>
    <row r="29" spans="1:14" x14ac:dyDescent="0.25">
      <c r="A29" s="48" t="s">
        <v>24</v>
      </c>
      <c r="B29" s="9"/>
      <c r="C29" s="2"/>
      <c r="D29" s="2"/>
      <c r="E29" s="2"/>
      <c r="F29" s="2"/>
      <c r="G29" s="2"/>
      <c r="H29" s="2"/>
      <c r="I29" s="2"/>
      <c r="J29" s="2"/>
      <c r="K29" s="2"/>
      <c r="L29" s="13"/>
      <c r="M29" s="46">
        <f>SUM(B31:L31)</f>
        <v>0</v>
      </c>
      <c r="N29" s="33">
        <f>M31-M41</f>
        <v>0</v>
      </c>
    </row>
    <row r="30" spans="1:14" x14ac:dyDescent="0.25">
      <c r="A30" s="48" t="s">
        <v>25</v>
      </c>
      <c r="B30" s="9"/>
      <c r="C30" s="2"/>
      <c r="D30" s="2"/>
      <c r="E30" s="2"/>
      <c r="F30" s="2"/>
      <c r="G30" s="2"/>
      <c r="H30" s="2"/>
      <c r="I30" s="2"/>
      <c r="J30" s="2"/>
      <c r="K30" s="2"/>
      <c r="L30" s="13"/>
      <c r="M30" s="46">
        <f>SUM(B31:L31)</f>
        <v>0</v>
      </c>
      <c r="N30" s="33">
        <f>M31-M42</f>
        <v>0</v>
      </c>
    </row>
    <row r="31" spans="1:14" x14ac:dyDescent="0.25">
      <c r="A31" s="48" t="s">
        <v>26</v>
      </c>
      <c r="B31" s="9"/>
      <c r="C31" s="2"/>
      <c r="D31" s="2"/>
      <c r="E31" s="2"/>
      <c r="F31" s="2"/>
      <c r="G31" s="2"/>
      <c r="H31" s="2"/>
      <c r="I31" s="2"/>
      <c r="J31" s="2"/>
      <c r="K31" s="2"/>
      <c r="L31" s="13"/>
      <c r="M31" s="46">
        <f>SUM(B31:L31)</f>
        <v>0</v>
      </c>
      <c r="N31" s="33">
        <f t="shared" ref="N31:N36" si="0">M31-M43</f>
        <v>0</v>
      </c>
    </row>
    <row r="32" spans="1:14" x14ac:dyDescent="0.25">
      <c r="A32" s="48" t="s">
        <v>75</v>
      </c>
      <c r="B32" s="9"/>
      <c r="C32" s="2"/>
      <c r="D32" s="2"/>
      <c r="E32" s="2"/>
      <c r="F32" s="2"/>
      <c r="G32" s="2"/>
      <c r="H32" s="2"/>
      <c r="I32" s="2"/>
      <c r="J32" s="2"/>
      <c r="K32" s="2"/>
      <c r="L32" s="13"/>
      <c r="M32" s="46">
        <f t="shared" ref="M32:M35" si="1">SUM(B32:L32)</f>
        <v>0</v>
      </c>
      <c r="N32" s="33">
        <f t="shared" si="0"/>
        <v>0</v>
      </c>
    </row>
    <row r="33" spans="1:14" x14ac:dyDescent="0.25">
      <c r="A33" s="48" t="s">
        <v>27</v>
      </c>
      <c r="B33" s="9"/>
      <c r="C33" s="2"/>
      <c r="D33" s="2"/>
      <c r="E33" s="2"/>
      <c r="F33" s="2"/>
      <c r="G33" s="2"/>
      <c r="H33" s="2"/>
      <c r="I33" s="2"/>
      <c r="J33" s="2"/>
      <c r="K33" s="2"/>
      <c r="L33" s="13"/>
      <c r="M33" s="46">
        <f t="shared" si="1"/>
        <v>0</v>
      </c>
      <c r="N33" s="33">
        <f t="shared" si="0"/>
        <v>0</v>
      </c>
    </row>
    <row r="34" spans="1:14" x14ac:dyDescent="0.25">
      <c r="A34" s="48" t="s">
        <v>28</v>
      </c>
      <c r="B34" s="9"/>
      <c r="C34" s="2"/>
      <c r="D34" s="2"/>
      <c r="E34" s="2"/>
      <c r="F34" s="2"/>
      <c r="G34" s="2"/>
      <c r="H34" s="2"/>
      <c r="I34" s="2"/>
      <c r="J34" s="2"/>
      <c r="K34" s="2"/>
      <c r="L34" s="13"/>
      <c r="M34" s="46">
        <f t="shared" si="1"/>
        <v>0</v>
      </c>
      <c r="N34" s="33">
        <f>M34-M46</f>
        <v>0</v>
      </c>
    </row>
    <row r="35" spans="1:14" x14ac:dyDescent="0.25">
      <c r="A35" s="48" t="s">
        <v>30</v>
      </c>
      <c r="B35" s="9"/>
      <c r="C35" s="2"/>
      <c r="D35" s="2"/>
      <c r="E35" s="2"/>
      <c r="F35" s="2"/>
      <c r="G35" s="2"/>
      <c r="H35" s="2"/>
      <c r="I35" s="2"/>
      <c r="J35" s="2"/>
      <c r="K35" s="2"/>
      <c r="L35" s="13"/>
      <c r="M35" s="46">
        <f t="shared" si="1"/>
        <v>0</v>
      </c>
      <c r="N35" s="33">
        <f t="shared" si="0"/>
        <v>0</v>
      </c>
    </row>
    <row r="36" spans="1:14" ht="15.75" thickBot="1" x14ac:dyDescent="0.3">
      <c r="A36" s="48" t="s">
        <v>29</v>
      </c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2"/>
      <c r="M36" s="46">
        <f>SUM(B36:L36)</f>
        <v>0</v>
      </c>
      <c r="N36" s="33">
        <f t="shared" si="0"/>
        <v>0</v>
      </c>
    </row>
    <row r="37" spans="1:14" x14ac:dyDescent="0.25">
      <c r="A37" s="48" t="s">
        <v>64</v>
      </c>
      <c r="B37" s="51">
        <f t="shared" ref="B37:L37" si="2">SUM(B31:B36)</f>
        <v>0</v>
      </c>
      <c r="C37" s="51">
        <f t="shared" si="2"/>
        <v>0</v>
      </c>
      <c r="D37" s="51">
        <f t="shared" si="2"/>
        <v>0</v>
      </c>
      <c r="E37" s="51">
        <f t="shared" si="2"/>
        <v>0</v>
      </c>
      <c r="F37" s="51">
        <f t="shared" si="2"/>
        <v>0</v>
      </c>
      <c r="G37" s="51">
        <f t="shared" si="2"/>
        <v>0</v>
      </c>
      <c r="H37" s="51">
        <f t="shared" si="2"/>
        <v>0</v>
      </c>
      <c r="I37" s="51">
        <f t="shared" si="2"/>
        <v>0</v>
      </c>
      <c r="J37" s="51">
        <f t="shared" si="2"/>
        <v>0</v>
      </c>
      <c r="K37" s="51">
        <f t="shared" si="2"/>
        <v>0</v>
      </c>
      <c r="L37" s="51">
        <f t="shared" si="2"/>
        <v>0</v>
      </c>
      <c r="M37" s="46"/>
      <c r="N37" s="33"/>
    </row>
    <row r="38" spans="1:14" ht="15.75" thickBot="1" x14ac:dyDescent="0.3">
      <c r="A38" s="47" t="s">
        <v>37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46" t="s">
        <v>64</v>
      </c>
    </row>
    <row r="39" spans="1:14" x14ac:dyDescent="0.25">
      <c r="A39" s="48" t="s">
        <v>22</v>
      </c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2"/>
      <c r="M39" s="46">
        <f>SUM(B39:L39)</f>
        <v>0</v>
      </c>
    </row>
    <row r="40" spans="1:14" x14ac:dyDescent="0.25">
      <c r="A40" s="48" t="s">
        <v>23</v>
      </c>
      <c r="B40" s="9"/>
      <c r="C40" s="2"/>
      <c r="D40" s="2"/>
      <c r="E40" s="2"/>
      <c r="F40" s="2"/>
      <c r="G40" s="2"/>
      <c r="H40" s="2"/>
      <c r="I40" s="2"/>
      <c r="J40" s="2"/>
      <c r="K40" s="2"/>
      <c r="L40" s="13"/>
      <c r="M40" s="46">
        <f t="shared" ref="M40:M48" si="3">SUM(B40:L40)</f>
        <v>0</v>
      </c>
    </row>
    <row r="41" spans="1:14" x14ac:dyDescent="0.25">
      <c r="A41" s="48" t="s">
        <v>24</v>
      </c>
      <c r="B41" s="9"/>
      <c r="C41" s="2"/>
      <c r="D41" s="2"/>
      <c r="E41" s="2"/>
      <c r="F41" s="2"/>
      <c r="G41" s="2"/>
      <c r="H41" s="2"/>
      <c r="I41" s="2"/>
      <c r="J41" s="2"/>
      <c r="K41" s="2"/>
      <c r="L41" s="13"/>
      <c r="M41" s="46">
        <f t="shared" si="3"/>
        <v>0</v>
      </c>
    </row>
    <row r="42" spans="1:14" x14ac:dyDescent="0.25">
      <c r="A42" s="48" t="s">
        <v>25</v>
      </c>
      <c r="B42" s="9"/>
      <c r="C42" s="2"/>
      <c r="D42" s="2"/>
      <c r="E42" s="2"/>
      <c r="F42" s="2"/>
      <c r="G42" s="2"/>
      <c r="H42" s="2"/>
      <c r="I42" s="2"/>
      <c r="J42" s="2"/>
      <c r="K42" s="2"/>
      <c r="L42" s="13"/>
      <c r="M42" s="46">
        <f t="shared" si="3"/>
        <v>0</v>
      </c>
    </row>
    <row r="43" spans="1:14" x14ac:dyDescent="0.25">
      <c r="A43" s="48" t="s">
        <v>26</v>
      </c>
      <c r="B43" s="9"/>
      <c r="C43" s="2"/>
      <c r="D43" s="2"/>
      <c r="E43" s="2"/>
      <c r="F43" s="2"/>
      <c r="G43" s="2"/>
      <c r="H43" s="2"/>
      <c r="I43" s="2"/>
      <c r="J43" s="2"/>
      <c r="K43" s="2"/>
      <c r="L43" s="13"/>
      <c r="M43" s="46">
        <f t="shared" si="3"/>
        <v>0</v>
      </c>
    </row>
    <row r="44" spans="1:14" x14ac:dyDescent="0.25">
      <c r="A44" s="48" t="s">
        <v>75</v>
      </c>
      <c r="B44" s="9"/>
      <c r="C44" s="2"/>
      <c r="D44" s="2"/>
      <c r="E44" s="2"/>
      <c r="F44" s="2"/>
      <c r="G44" s="2"/>
      <c r="H44" s="2"/>
      <c r="I44" s="2"/>
      <c r="J44" s="2"/>
      <c r="K44" s="2"/>
      <c r="L44" s="13"/>
      <c r="M44" s="46">
        <f t="shared" si="3"/>
        <v>0</v>
      </c>
    </row>
    <row r="45" spans="1:14" x14ac:dyDescent="0.25">
      <c r="A45" s="48" t="s">
        <v>27</v>
      </c>
      <c r="B45" s="9"/>
      <c r="C45" s="2"/>
      <c r="D45" s="2"/>
      <c r="E45" s="2"/>
      <c r="F45" s="2"/>
      <c r="G45" s="2"/>
      <c r="H45" s="2"/>
      <c r="I45" s="2"/>
      <c r="J45" s="2"/>
      <c r="K45" s="2"/>
      <c r="L45" s="13"/>
      <c r="M45" s="46">
        <f t="shared" si="3"/>
        <v>0</v>
      </c>
    </row>
    <row r="46" spans="1:14" x14ac:dyDescent="0.25">
      <c r="A46" s="48" t="s">
        <v>28</v>
      </c>
      <c r="B46" s="9"/>
      <c r="C46" s="2"/>
      <c r="D46" s="2"/>
      <c r="E46" s="2"/>
      <c r="F46" s="2"/>
      <c r="G46" s="2"/>
      <c r="H46" s="2"/>
      <c r="I46" s="2"/>
      <c r="J46" s="2"/>
      <c r="K46" s="2"/>
      <c r="L46" s="13"/>
      <c r="M46" s="46">
        <f t="shared" si="3"/>
        <v>0</v>
      </c>
    </row>
    <row r="47" spans="1:14" x14ac:dyDescent="0.25">
      <c r="A47" s="48" t="s">
        <v>30</v>
      </c>
      <c r="B47" s="9"/>
      <c r="C47" s="2"/>
      <c r="D47" s="2"/>
      <c r="E47" s="2"/>
      <c r="F47" s="2"/>
      <c r="G47" s="2"/>
      <c r="H47" s="2"/>
      <c r="I47" s="2"/>
      <c r="J47" s="2"/>
      <c r="K47" s="2"/>
      <c r="L47" s="13"/>
      <c r="M47" s="46">
        <f t="shared" si="3"/>
        <v>0</v>
      </c>
    </row>
    <row r="48" spans="1:14" ht="15.75" thickBot="1" x14ac:dyDescent="0.3">
      <c r="A48" s="48" t="s">
        <v>29</v>
      </c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2"/>
      <c r="M48" s="46">
        <f t="shared" si="3"/>
        <v>0</v>
      </c>
    </row>
    <row r="49" spans="1:13" x14ac:dyDescent="0.25">
      <c r="A49" s="48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46"/>
    </row>
    <row r="50" spans="1:13" ht="15.75" thickBot="1" x14ac:dyDescent="0.3">
      <c r="A50" s="49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0"/>
    </row>
  </sheetData>
  <mergeCells count="14">
    <mergeCell ref="B18:D18"/>
    <mergeCell ref="B19:D19"/>
    <mergeCell ref="B10:D10"/>
    <mergeCell ref="B12:D12"/>
    <mergeCell ref="B13:D13"/>
    <mergeCell ref="B15:D15"/>
    <mergeCell ref="B16:D16"/>
    <mergeCell ref="B17:E17"/>
    <mergeCell ref="B9:D9"/>
    <mergeCell ref="E1:G1"/>
    <mergeCell ref="B3:D3"/>
    <mergeCell ref="B4:D4"/>
    <mergeCell ref="B6:D6"/>
    <mergeCell ref="B7:D7"/>
  </mergeCells>
  <pageMargins left="0.7" right="0.7" top="0.75" bottom="0.75" header="0.3" footer="0.3"/>
  <pageSetup scale="4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89DCB-246F-4861-AF2A-F269725ABC08}">
  <sheetPr>
    <pageSetUpPr fitToPage="1"/>
  </sheetPr>
  <dimension ref="A1:N50"/>
  <sheetViews>
    <sheetView showGridLines="0" workbookViewId="0">
      <selection activeCell="B24" sqref="B24"/>
    </sheetView>
  </sheetViews>
  <sheetFormatPr defaultRowHeight="15" x14ac:dyDescent="0.25"/>
  <cols>
    <col min="1" max="1" width="28" bestFit="1" customWidth="1"/>
    <col min="2" max="12" width="12.7109375" customWidth="1"/>
  </cols>
  <sheetData>
    <row r="1" spans="1:7" ht="59.25" customHeight="1" x14ac:dyDescent="0.55000000000000004">
      <c r="A1" s="41" t="s">
        <v>83</v>
      </c>
      <c r="B1" s="37"/>
      <c r="C1" s="37"/>
      <c r="D1" s="37"/>
      <c r="E1" s="120"/>
      <c r="F1" s="120"/>
      <c r="G1" s="120"/>
    </row>
    <row r="2" spans="1:7" x14ac:dyDescent="0.25">
      <c r="A2" s="40" t="s">
        <v>84</v>
      </c>
    </row>
    <row r="3" spans="1:7" x14ac:dyDescent="0.25">
      <c r="A3" s="35" t="s">
        <v>39</v>
      </c>
      <c r="B3" s="125" t="s">
        <v>45</v>
      </c>
      <c r="C3" s="125"/>
      <c r="D3" s="125"/>
    </row>
    <row r="4" spans="1:7" ht="46.5" x14ac:dyDescent="0.7">
      <c r="A4" s="36">
        <f>Sheet1!Y15</f>
        <v>1</v>
      </c>
      <c r="B4" s="127">
        <f>Sheet1!F15</f>
        <v>17</v>
      </c>
      <c r="C4" s="127"/>
      <c r="D4" s="127"/>
      <c r="E4" s="38"/>
    </row>
    <row r="5" spans="1:7" ht="15" customHeight="1" x14ac:dyDescent="0.25"/>
    <row r="6" spans="1:7" x14ac:dyDescent="0.25">
      <c r="A6" s="53" t="s">
        <v>51</v>
      </c>
      <c r="B6" s="129" t="s">
        <v>41</v>
      </c>
      <c r="C6" s="129"/>
      <c r="D6" s="129"/>
    </row>
    <row r="7" spans="1:7" ht="46.5" x14ac:dyDescent="0.7">
      <c r="A7" s="54">
        <f>Sheet1!P15</f>
        <v>80</v>
      </c>
      <c r="B7" s="128">
        <f>IFERROR(Sheet1!D15/Sheet1!B15, 0)</f>
        <v>1</v>
      </c>
      <c r="C7" s="128"/>
      <c r="D7" s="128"/>
      <c r="E7" s="43"/>
    </row>
    <row r="8" spans="1:7" ht="15" customHeight="1" x14ac:dyDescent="0.25">
      <c r="A8" s="43"/>
      <c r="B8" s="43"/>
      <c r="C8" s="43"/>
      <c r="D8" s="43"/>
      <c r="E8" s="43"/>
    </row>
    <row r="9" spans="1:7" x14ac:dyDescent="0.25">
      <c r="A9" s="56" t="s">
        <v>40</v>
      </c>
      <c r="B9" s="130" t="s">
        <v>42</v>
      </c>
      <c r="C9" s="130"/>
      <c r="D9" s="130"/>
      <c r="E9" s="43"/>
    </row>
    <row r="10" spans="1:7" ht="46.5" x14ac:dyDescent="0.7">
      <c r="A10" s="57">
        <f>IFERROR(AVERAGE(Sheet1!B35,Sheet1!E35,Sheet1!H35,Sheet1!K35,Sheet1!N35,Sheet1!Q35,Sheet1!T35,Sheet1!W35,Sheet1!Z35,Sheet1!AC35,Sheet1!AF35), 0)</f>
        <v>1</v>
      </c>
      <c r="B10" s="131">
        <f>IFERROR(AVERAGE(Sheet1!C35,Sheet1!F35,Sheet1!I35,Sheet1!L35,Sheet1!O35,Sheet1!R35,Sheet1!U35,Sheet1!X35,Sheet1!AA35,Sheet1!AD35,Sheet1!AG35), 0)</f>
        <v>110</v>
      </c>
      <c r="C10" s="131"/>
      <c r="D10" s="131"/>
      <c r="E10" s="39"/>
    </row>
    <row r="11" spans="1:7" x14ac:dyDescent="0.25">
      <c r="A11" s="42"/>
      <c r="B11" s="34"/>
      <c r="C11" s="34"/>
      <c r="D11" s="34"/>
      <c r="E11" s="34"/>
    </row>
    <row r="12" spans="1:7" x14ac:dyDescent="0.25">
      <c r="A12" s="58" t="s">
        <v>62</v>
      </c>
      <c r="B12" s="121" t="s">
        <v>63</v>
      </c>
      <c r="C12" s="121"/>
      <c r="D12" s="121"/>
    </row>
    <row r="13" spans="1:7" ht="46.5" x14ac:dyDescent="0.7">
      <c r="A13" s="59">
        <f>AVERAGE(Sheet1!D35,Sheet1!G35,Sheet1!J35,Sheet1!M35,Sheet1!P35,Sheet1!S35,Sheet1!V35,Sheet1!Y35,Sheet1!AB35,Sheet1!AE35)</f>
        <v>1.1000000000000001</v>
      </c>
      <c r="B13" s="132">
        <f>AVERAGE(B27:L36)</f>
        <v>1</v>
      </c>
      <c r="C13" s="132"/>
      <c r="D13" s="132"/>
    </row>
    <row r="15" spans="1:7" x14ac:dyDescent="0.25">
      <c r="A15" s="60" t="s">
        <v>43</v>
      </c>
      <c r="B15" s="123" t="s">
        <v>44</v>
      </c>
      <c r="C15" s="123"/>
      <c r="D15" s="123"/>
      <c r="E15" s="55"/>
    </row>
    <row r="16" spans="1:7" ht="46.5" customHeight="1" x14ac:dyDescent="0.7">
      <c r="A16" s="77">
        <f>MAX(B23:L23)</f>
        <v>10</v>
      </c>
      <c r="B16" s="126">
        <v>0</v>
      </c>
      <c r="C16" s="126"/>
      <c r="D16" s="126"/>
      <c r="E16" s="38"/>
    </row>
    <row r="17" spans="1:14" x14ac:dyDescent="0.25">
      <c r="B17" s="124"/>
      <c r="C17" s="124"/>
      <c r="D17" s="124"/>
      <c r="E17" s="124"/>
    </row>
    <row r="18" spans="1:14" x14ac:dyDescent="0.25">
      <c r="A18" s="61" t="s">
        <v>38</v>
      </c>
      <c r="B18" s="118" t="s">
        <v>46</v>
      </c>
      <c r="C18" s="118"/>
      <c r="D18" s="118"/>
    </row>
    <row r="19" spans="1:14" ht="46.5" customHeight="1" x14ac:dyDescent="0.35">
      <c r="A19" s="62" t="str">
        <f>INDEX(A27:A36, MATCH(MAX(M27:M36), M27:M36, 0))</f>
        <v>Edward Wearing</v>
      </c>
      <c r="B19" s="119" t="str">
        <f>INDEX(A39:A48, MATCH(MAX(M39:M48), M39:M48, 0))</f>
        <v>Luke Daly</v>
      </c>
      <c r="C19" s="119"/>
      <c r="D19" s="119"/>
      <c r="E19" s="38"/>
    </row>
    <row r="20" spans="1:14" ht="15.75" thickBot="1" x14ac:dyDescent="0.3">
      <c r="C20" s="38"/>
      <c r="D20" s="38"/>
      <c r="E20" s="38"/>
    </row>
    <row r="21" spans="1:14" ht="15.75" thickBot="1" x14ac:dyDescent="0.3">
      <c r="A21" s="44" t="s">
        <v>31</v>
      </c>
      <c r="B21" s="66">
        <v>46048</v>
      </c>
      <c r="C21" s="66">
        <v>46074</v>
      </c>
      <c r="D21" s="66">
        <v>46102</v>
      </c>
      <c r="E21" s="66">
        <v>46138</v>
      </c>
      <c r="F21" s="66">
        <v>46165</v>
      </c>
      <c r="G21" s="66" t="s">
        <v>85</v>
      </c>
      <c r="H21" s="66">
        <v>46229</v>
      </c>
      <c r="I21" s="66">
        <v>46256</v>
      </c>
      <c r="J21" s="66">
        <v>46291</v>
      </c>
      <c r="K21" s="66">
        <v>46321</v>
      </c>
      <c r="L21" s="67" t="s">
        <v>67</v>
      </c>
      <c r="M21" s="45"/>
    </row>
    <row r="22" spans="1:14" x14ac:dyDescent="0.25">
      <c r="A22" s="47" t="s">
        <v>68</v>
      </c>
      <c r="B22" s="68">
        <v>20</v>
      </c>
      <c r="C22" s="69"/>
      <c r="D22" s="69"/>
      <c r="E22" s="69"/>
      <c r="F22" s="69"/>
      <c r="G22" s="69"/>
      <c r="H22" s="69"/>
      <c r="I22" s="69"/>
      <c r="J22" s="69"/>
      <c r="K22" s="69"/>
      <c r="L22" s="70"/>
      <c r="M22" s="46"/>
    </row>
    <row r="23" spans="1:14" x14ac:dyDescent="0.25">
      <c r="A23" s="47" t="s">
        <v>4</v>
      </c>
      <c r="B23" s="71">
        <v>10</v>
      </c>
      <c r="C23" s="72"/>
      <c r="D23" s="72"/>
      <c r="E23" s="72"/>
      <c r="F23" s="72"/>
      <c r="G23" s="72"/>
      <c r="H23" s="72"/>
      <c r="I23" s="72"/>
      <c r="J23" s="72"/>
      <c r="K23" s="72"/>
      <c r="L23" s="73"/>
      <c r="M23" s="46"/>
    </row>
    <row r="24" spans="1:14" ht="15.75" thickBot="1" x14ac:dyDescent="0.3">
      <c r="A24" s="47" t="s">
        <v>5</v>
      </c>
      <c r="B24" s="74">
        <v>10</v>
      </c>
      <c r="C24" s="75"/>
      <c r="D24" s="75"/>
      <c r="E24" s="75"/>
      <c r="F24" s="75"/>
      <c r="G24" s="75"/>
      <c r="H24" s="75"/>
      <c r="I24" s="75"/>
      <c r="J24" s="75"/>
      <c r="K24" s="75"/>
      <c r="L24" s="76"/>
      <c r="M24" s="46"/>
    </row>
    <row r="25" spans="1:14" x14ac:dyDescent="0.25">
      <c r="A25" s="80" t="s">
        <v>8</v>
      </c>
      <c r="B25" s="78">
        <f>Sheet1!C35-B22</f>
        <v>90</v>
      </c>
      <c r="C25" s="78">
        <f>Sheet1!F35-C22</f>
        <v>0</v>
      </c>
      <c r="D25" s="78">
        <f>Sheet1!I35-D22</f>
        <v>0</v>
      </c>
      <c r="E25" s="78">
        <f>Sheet1!L35-E22</f>
        <v>0</v>
      </c>
      <c r="F25" s="78">
        <f>Sheet1!O35-F22</f>
        <v>0</v>
      </c>
      <c r="G25" s="78">
        <f>Sheet1!R35-G22</f>
        <v>0</v>
      </c>
      <c r="H25" s="78">
        <f>Sheet1!U35-H22</f>
        <v>0</v>
      </c>
      <c r="I25" s="78">
        <f>Sheet1!X35-I22</f>
        <v>0</v>
      </c>
      <c r="J25" s="78">
        <f>Sheet1!AA35-J22</f>
        <v>0</v>
      </c>
      <c r="K25" s="78">
        <f>Sheet1!AD35-K22</f>
        <v>0</v>
      </c>
      <c r="L25" s="78">
        <f>Sheet1!AG35-L22</f>
        <v>0</v>
      </c>
      <c r="M25" s="46"/>
    </row>
    <row r="26" spans="1:14" ht="15.75" thickBot="1" x14ac:dyDescent="0.3">
      <c r="A26" s="47" t="s">
        <v>36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46" t="s">
        <v>64</v>
      </c>
    </row>
    <row r="27" spans="1:14" x14ac:dyDescent="0.25">
      <c r="A27" s="48" t="s">
        <v>22</v>
      </c>
      <c r="B27" s="30">
        <v>1</v>
      </c>
      <c r="C27" s="31"/>
      <c r="D27" s="31"/>
      <c r="E27" s="31"/>
      <c r="F27" s="31"/>
      <c r="G27" s="31"/>
      <c r="H27" s="31"/>
      <c r="I27" s="31"/>
      <c r="J27" s="31"/>
      <c r="K27" s="31"/>
      <c r="L27" s="32"/>
      <c r="M27" s="46">
        <f>SUM(B32:L32)</f>
        <v>1</v>
      </c>
      <c r="N27" s="33">
        <f>M32-M39</f>
        <v>1</v>
      </c>
    </row>
    <row r="28" spans="1:14" x14ac:dyDescent="0.25">
      <c r="A28" s="48" t="s">
        <v>23</v>
      </c>
      <c r="B28" s="9"/>
      <c r="C28" s="2"/>
      <c r="D28" s="2"/>
      <c r="E28" s="2"/>
      <c r="F28" s="2"/>
      <c r="G28" s="2"/>
      <c r="H28" s="2"/>
      <c r="I28" s="2"/>
      <c r="J28" s="2"/>
      <c r="K28" s="2"/>
      <c r="L28" s="13"/>
      <c r="M28" s="46">
        <f>SUM(B32:L32)</f>
        <v>1</v>
      </c>
      <c r="N28" s="33">
        <f>M32-M40</f>
        <v>1</v>
      </c>
    </row>
    <row r="29" spans="1:14" x14ac:dyDescent="0.25">
      <c r="A29" s="48" t="s">
        <v>24</v>
      </c>
      <c r="B29" s="9">
        <v>1</v>
      </c>
      <c r="C29" s="2"/>
      <c r="D29" s="2"/>
      <c r="E29" s="2"/>
      <c r="F29" s="2"/>
      <c r="G29" s="2"/>
      <c r="H29" s="2"/>
      <c r="I29" s="2"/>
      <c r="J29" s="2"/>
      <c r="K29" s="2"/>
      <c r="L29" s="13"/>
      <c r="M29" s="46">
        <f>SUM(B32:L32)</f>
        <v>1</v>
      </c>
      <c r="N29" s="33">
        <f>M32-M41</f>
        <v>0</v>
      </c>
    </row>
    <row r="30" spans="1:14" x14ac:dyDescent="0.25">
      <c r="A30" s="48" t="s">
        <v>25</v>
      </c>
      <c r="B30" s="9">
        <v>1</v>
      </c>
      <c r="C30" s="2"/>
      <c r="D30" s="2"/>
      <c r="E30" s="2"/>
      <c r="F30" s="2"/>
      <c r="G30" s="2"/>
      <c r="H30" s="2"/>
      <c r="I30" s="2"/>
      <c r="J30" s="2"/>
      <c r="K30" s="2"/>
      <c r="L30" s="13"/>
      <c r="M30" s="46">
        <f>SUM(B32:L32)</f>
        <v>1</v>
      </c>
      <c r="N30" s="33">
        <f>M32-M42</f>
        <v>1</v>
      </c>
    </row>
    <row r="31" spans="1:14" x14ac:dyDescent="0.25">
      <c r="A31" s="48" t="s">
        <v>26</v>
      </c>
      <c r="B31" s="9">
        <v>1</v>
      </c>
      <c r="C31" s="2"/>
      <c r="D31" s="2"/>
      <c r="E31" s="2"/>
      <c r="F31" s="2"/>
      <c r="G31" s="2"/>
      <c r="H31" s="2"/>
      <c r="I31" s="2"/>
      <c r="J31" s="2"/>
      <c r="K31" s="2"/>
      <c r="L31" s="13"/>
      <c r="M31" s="46">
        <f>SUM(B32:L32)</f>
        <v>1</v>
      </c>
      <c r="N31" s="33">
        <f>M32-M43</f>
        <v>1</v>
      </c>
    </row>
    <row r="32" spans="1:14" x14ac:dyDescent="0.25">
      <c r="A32" s="48" t="s">
        <v>75</v>
      </c>
      <c r="B32" s="9">
        <v>1</v>
      </c>
      <c r="C32" s="2"/>
      <c r="D32" s="2"/>
      <c r="E32" s="2"/>
      <c r="F32" s="2"/>
      <c r="G32" s="2"/>
      <c r="H32" s="2"/>
      <c r="I32" s="2"/>
      <c r="J32" s="2"/>
      <c r="K32" s="2"/>
      <c r="L32" s="13"/>
      <c r="M32" s="46">
        <f t="shared" ref="M32:M35" si="0">SUM(B32:L32)</f>
        <v>1</v>
      </c>
      <c r="N32" s="33">
        <f t="shared" ref="N32:N36" si="1">M32-M44</f>
        <v>1</v>
      </c>
    </row>
    <row r="33" spans="1:14" x14ac:dyDescent="0.25">
      <c r="A33" s="48" t="s">
        <v>27</v>
      </c>
      <c r="B33" s="9"/>
      <c r="C33" s="2"/>
      <c r="D33" s="2"/>
      <c r="E33" s="2"/>
      <c r="F33" s="2"/>
      <c r="G33" s="2"/>
      <c r="H33" s="2"/>
      <c r="I33" s="2"/>
      <c r="J33" s="2"/>
      <c r="K33" s="2"/>
      <c r="L33" s="13"/>
      <c r="M33" s="46">
        <f t="shared" si="0"/>
        <v>0</v>
      </c>
      <c r="N33" s="33">
        <f t="shared" si="1"/>
        <v>0</v>
      </c>
    </row>
    <row r="34" spans="1:14" x14ac:dyDescent="0.25">
      <c r="A34" s="48" t="s">
        <v>86</v>
      </c>
      <c r="B34" s="9"/>
      <c r="C34" s="2"/>
      <c r="D34" s="2"/>
      <c r="E34" s="2"/>
      <c r="F34" s="2"/>
      <c r="G34" s="2"/>
      <c r="H34" s="2"/>
      <c r="I34" s="2"/>
      <c r="J34" s="2"/>
      <c r="K34" s="2"/>
      <c r="L34" s="13"/>
      <c r="M34" s="46">
        <f t="shared" si="0"/>
        <v>0</v>
      </c>
      <c r="N34" s="33">
        <f>M34-M46</f>
        <v>0</v>
      </c>
    </row>
    <row r="35" spans="1:14" x14ac:dyDescent="0.25">
      <c r="A35" s="48" t="s">
        <v>30</v>
      </c>
      <c r="B35" s="9"/>
      <c r="C35" s="2"/>
      <c r="D35" s="2"/>
      <c r="E35" s="2"/>
      <c r="F35" s="2"/>
      <c r="G35" s="2"/>
      <c r="H35" s="2"/>
      <c r="I35" s="2"/>
      <c r="J35" s="2"/>
      <c r="K35" s="2"/>
      <c r="L35" s="13"/>
      <c r="M35" s="46">
        <f t="shared" si="0"/>
        <v>0</v>
      </c>
      <c r="N35" s="33">
        <f t="shared" si="1"/>
        <v>0</v>
      </c>
    </row>
    <row r="36" spans="1:14" ht="15.75" thickBot="1" x14ac:dyDescent="0.3">
      <c r="A36" s="48" t="s">
        <v>29</v>
      </c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2"/>
      <c r="M36" s="46">
        <f>SUM(B36:L36)</f>
        <v>0</v>
      </c>
      <c r="N36" s="33">
        <f t="shared" si="1"/>
        <v>0</v>
      </c>
    </row>
    <row r="37" spans="1:14" x14ac:dyDescent="0.25">
      <c r="A37" s="48" t="s">
        <v>64</v>
      </c>
      <c r="B37" s="51">
        <f t="shared" ref="B37:L37" si="2">SUM(B32:B36)</f>
        <v>1</v>
      </c>
      <c r="C37" s="51">
        <f t="shared" si="2"/>
        <v>0</v>
      </c>
      <c r="D37" s="51">
        <f t="shared" si="2"/>
        <v>0</v>
      </c>
      <c r="E37" s="51">
        <f t="shared" si="2"/>
        <v>0</v>
      </c>
      <c r="F37" s="51">
        <f t="shared" si="2"/>
        <v>0</v>
      </c>
      <c r="G37" s="51">
        <f t="shared" si="2"/>
        <v>0</v>
      </c>
      <c r="H37" s="51">
        <f t="shared" si="2"/>
        <v>0</v>
      </c>
      <c r="I37" s="51">
        <f t="shared" si="2"/>
        <v>0</v>
      </c>
      <c r="J37" s="51">
        <f t="shared" si="2"/>
        <v>0</v>
      </c>
      <c r="K37" s="51">
        <f t="shared" si="2"/>
        <v>0</v>
      </c>
      <c r="L37" s="51">
        <f t="shared" si="2"/>
        <v>0</v>
      </c>
      <c r="M37" s="46"/>
      <c r="N37" s="33"/>
    </row>
    <row r="38" spans="1:14" ht="15.75" thickBot="1" x14ac:dyDescent="0.3">
      <c r="A38" s="47" t="s">
        <v>37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46" t="s">
        <v>64</v>
      </c>
    </row>
    <row r="39" spans="1:14" x14ac:dyDescent="0.25">
      <c r="A39" s="48" t="s">
        <v>22</v>
      </c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2"/>
      <c r="M39" s="46">
        <f>SUM(B39:L39)</f>
        <v>0</v>
      </c>
    </row>
    <row r="40" spans="1:14" x14ac:dyDescent="0.25">
      <c r="A40" s="48" t="s">
        <v>23</v>
      </c>
      <c r="B40" s="9"/>
      <c r="C40" s="2"/>
      <c r="D40" s="2"/>
      <c r="E40" s="2"/>
      <c r="F40" s="2"/>
      <c r="G40" s="2"/>
      <c r="H40" s="2"/>
      <c r="I40" s="2"/>
      <c r="J40" s="2"/>
      <c r="K40" s="2"/>
      <c r="L40" s="13"/>
      <c r="M40" s="46">
        <f t="shared" ref="M40:M48" si="3">SUM(B40:L40)</f>
        <v>0</v>
      </c>
    </row>
    <row r="41" spans="1:14" x14ac:dyDescent="0.25">
      <c r="A41" s="48" t="s">
        <v>24</v>
      </c>
      <c r="B41" s="9">
        <v>1</v>
      </c>
      <c r="C41" s="2"/>
      <c r="D41" s="2"/>
      <c r="E41" s="2"/>
      <c r="F41" s="2"/>
      <c r="G41" s="2"/>
      <c r="H41" s="2"/>
      <c r="I41" s="2"/>
      <c r="J41" s="2"/>
      <c r="K41" s="2"/>
      <c r="L41" s="13"/>
      <c r="M41" s="46">
        <f t="shared" si="3"/>
        <v>1</v>
      </c>
    </row>
    <row r="42" spans="1:14" x14ac:dyDescent="0.25">
      <c r="A42" s="48" t="s">
        <v>25</v>
      </c>
      <c r="B42" s="9"/>
      <c r="C42" s="2"/>
      <c r="D42" s="2"/>
      <c r="E42" s="2"/>
      <c r="F42" s="2"/>
      <c r="G42" s="2"/>
      <c r="H42" s="2"/>
      <c r="I42" s="2"/>
      <c r="J42" s="2"/>
      <c r="K42" s="2"/>
      <c r="L42" s="13"/>
      <c r="M42" s="46">
        <f t="shared" si="3"/>
        <v>0</v>
      </c>
    </row>
    <row r="43" spans="1:14" x14ac:dyDescent="0.25">
      <c r="A43" s="48" t="s">
        <v>26</v>
      </c>
      <c r="B43" s="9"/>
      <c r="C43" s="2"/>
      <c r="D43" s="2"/>
      <c r="E43" s="2"/>
      <c r="F43" s="2"/>
      <c r="G43" s="2"/>
      <c r="H43" s="2"/>
      <c r="I43" s="2"/>
      <c r="J43" s="2"/>
      <c r="K43" s="2"/>
      <c r="L43" s="13"/>
      <c r="M43" s="46">
        <f t="shared" si="3"/>
        <v>0</v>
      </c>
    </row>
    <row r="44" spans="1:14" x14ac:dyDescent="0.25">
      <c r="A44" s="48" t="s">
        <v>75</v>
      </c>
      <c r="B44" s="9"/>
      <c r="C44" s="2"/>
      <c r="D44" s="2"/>
      <c r="E44" s="2"/>
      <c r="F44" s="2"/>
      <c r="G44" s="2"/>
      <c r="H44" s="2"/>
      <c r="I44" s="2"/>
      <c r="J44" s="2"/>
      <c r="K44" s="2"/>
      <c r="L44" s="13"/>
      <c r="M44" s="46">
        <f t="shared" si="3"/>
        <v>0</v>
      </c>
    </row>
    <row r="45" spans="1:14" x14ac:dyDescent="0.25">
      <c r="A45" s="48" t="s">
        <v>27</v>
      </c>
      <c r="B45" s="9"/>
      <c r="C45" s="2"/>
      <c r="D45" s="2"/>
      <c r="E45" s="2"/>
      <c r="F45" s="2"/>
      <c r="G45" s="2"/>
      <c r="H45" s="2"/>
      <c r="I45" s="2"/>
      <c r="J45" s="2"/>
      <c r="K45" s="2"/>
      <c r="L45" s="13"/>
      <c r="M45" s="46">
        <f t="shared" si="3"/>
        <v>0</v>
      </c>
    </row>
    <row r="46" spans="1:14" x14ac:dyDescent="0.25">
      <c r="A46" s="48" t="s">
        <v>86</v>
      </c>
      <c r="B46" s="9"/>
      <c r="C46" s="2"/>
      <c r="D46" s="2"/>
      <c r="E46" s="2"/>
      <c r="F46" s="2"/>
      <c r="G46" s="2"/>
      <c r="H46" s="2"/>
      <c r="I46" s="2"/>
      <c r="J46" s="2"/>
      <c r="K46" s="2"/>
      <c r="L46" s="13"/>
      <c r="M46" s="46">
        <f t="shared" si="3"/>
        <v>0</v>
      </c>
    </row>
    <row r="47" spans="1:14" x14ac:dyDescent="0.25">
      <c r="A47" s="48" t="s">
        <v>30</v>
      </c>
      <c r="B47" s="9"/>
      <c r="C47" s="2"/>
      <c r="D47" s="2"/>
      <c r="E47" s="2"/>
      <c r="F47" s="2"/>
      <c r="G47" s="2"/>
      <c r="H47" s="2"/>
      <c r="I47" s="2"/>
      <c r="J47" s="2"/>
      <c r="K47" s="2"/>
      <c r="L47" s="13"/>
      <c r="M47" s="46">
        <f t="shared" si="3"/>
        <v>0</v>
      </c>
    </row>
    <row r="48" spans="1:14" ht="15.75" thickBot="1" x14ac:dyDescent="0.3">
      <c r="A48" s="48" t="s">
        <v>29</v>
      </c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2"/>
      <c r="M48" s="46">
        <f t="shared" si="3"/>
        <v>0</v>
      </c>
    </row>
    <row r="49" spans="1:13" x14ac:dyDescent="0.25">
      <c r="A49" s="48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46"/>
    </row>
    <row r="50" spans="1:13" ht="15.75" thickBot="1" x14ac:dyDescent="0.3">
      <c r="A50" s="49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0"/>
    </row>
  </sheetData>
  <mergeCells count="14">
    <mergeCell ref="B18:D18"/>
    <mergeCell ref="B19:D19"/>
    <mergeCell ref="B10:D10"/>
    <mergeCell ref="B12:D12"/>
    <mergeCell ref="B13:D13"/>
    <mergeCell ref="B15:D15"/>
    <mergeCell ref="B16:D16"/>
    <mergeCell ref="B17:E17"/>
    <mergeCell ref="B9:D9"/>
    <mergeCell ref="E1:G1"/>
    <mergeCell ref="B3:D3"/>
    <mergeCell ref="B4:D4"/>
    <mergeCell ref="B6:D6"/>
    <mergeCell ref="B7:D7"/>
  </mergeCells>
  <pageMargins left="0.7" right="0.7" top="0.75" bottom="0.75" header="0.3" footer="0.3"/>
  <pageSetup scale="4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ABA52-BA7F-401C-B0D0-961E111B88BD}">
  <sheetPr>
    <pageSetUpPr fitToPage="1"/>
  </sheetPr>
  <dimension ref="A1:N50"/>
  <sheetViews>
    <sheetView showGridLines="0" topLeftCell="A21" workbookViewId="0">
      <selection activeCell="B42" sqref="B42"/>
    </sheetView>
  </sheetViews>
  <sheetFormatPr defaultRowHeight="15" x14ac:dyDescent="0.25"/>
  <cols>
    <col min="1" max="1" width="28" bestFit="1" customWidth="1"/>
    <col min="2" max="12" width="12.7109375" customWidth="1"/>
  </cols>
  <sheetData>
    <row r="1" spans="1:7" ht="59.25" customHeight="1" x14ac:dyDescent="0.55000000000000004">
      <c r="A1" s="41" t="s">
        <v>87</v>
      </c>
      <c r="B1" s="37"/>
      <c r="C1" s="37"/>
      <c r="D1" s="37"/>
      <c r="E1" s="120"/>
      <c r="F1" s="120"/>
      <c r="G1" s="120"/>
    </row>
    <row r="2" spans="1:7" x14ac:dyDescent="0.25">
      <c r="A2" s="40" t="s">
        <v>88</v>
      </c>
    </row>
    <row r="3" spans="1:7" x14ac:dyDescent="0.25">
      <c r="A3" s="35" t="s">
        <v>39</v>
      </c>
      <c r="B3" s="125" t="s">
        <v>45</v>
      </c>
      <c r="C3" s="125"/>
      <c r="D3" s="125"/>
    </row>
    <row r="4" spans="1:7" ht="46.5" x14ac:dyDescent="0.7">
      <c r="A4" s="36">
        <f>Sheet1!Y16</f>
        <v>6</v>
      </c>
      <c r="B4" s="127">
        <f>Sheet1!F16</f>
        <v>1</v>
      </c>
      <c r="C4" s="127"/>
      <c r="D4" s="127"/>
      <c r="E4" s="38"/>
    </row>
    <row r="5" spans="1:7" ht="15" customHeight="1" x14ac:dyDescent="0.25"/>
    <row r="6" spans="1:7" x14ac:dyDescent="0.25">
      <c r="A6" s="53" t="s">
        <v>51</v>
      </c>
      <c r="B6" s="129" t="s">
        <v>41</v>
      </c>
      <c r="C6" s="129"/>
      <c r="D6" s="129"/>
    </row>
    <row r="7" spans="1:7" ht="46.5" x14ac:dyDescent="0.7">
      <c r="A7" s="54">
        <f>Sheet1!P16</f>
        <v>-20</v>
      </c>
      <c r="B7" s="128">
        <f>IFERROR(Sheet1!D16/Sheet1!B16, 0)</f>
        <v>0</v>
      </c>
      <c r="C7" s="128"/>
      <c r="D7" s="128"/>
      <c r="E7" s="43"/>
    </row>
    <row r="8" spans="1:7" ht="15" customHeight="1" x14ac:dyDescent="0.25">
      <c r="A8" s="43"/>
      <c r="B8" s="43"/>
      <c r="C8" s="43"/>
      <c r="D8" s="43"/>
      <c r="E8" s="43"/>
    </row>
    <row r="9" spans="1:7" x14ac:dyDescent="0.25">
      <c r="A9" s="56" t="s">
        <v>40</v>
      </c>
      <c r="B9" s="130" t="s">
        <v>42</v>
      </c>
      <c r="C9" s="130"/>
      <c r="D9" s="130"/>
      <c r="E9" s="43"/>
    </row>
    <row r="10" spans="1:7" ht="46.5" x14ac:dyDescent="0.7">
      <c r="A10" s="57">
        <f>IFERROR(AVERAGE(Sheet1!B36,Sheet1!E36,Sheet1!H36,Sheet1!K36,Sheet1!N36,Sheet1!Q36,Sheet1!T36,Sheet1!W36,Sheet1!Z36,Sheet1!AC36,Sheet1!AF36), 0)</f>
        <v>8</v>
      </c>
      <c r="B10" s="131">
        <f>IFERROR(AVERAGE(Sheet1!C36,Sheet1!F36,Sheet1!I36,Sheet1!L36,Sheet1!O36,Sheet1!R36,Sheet1!U36,Sheet1!X36,Sheet1!AA36,Sheet1!AD36,Sheet1!AG36), 0)</f>
        <v>0</v>
      </c>
      <c r="C10" s="131"/>
      <c r="D10" s="131"/>
      <c r="E10" s="39"/>
    </row>
    <row r="11" spans="1:7" x14ac:dyDescent="0.25">
      <c r="A11" s="42"/>
      <c r="B11" s="34"/>
      <c r="C11" s="34"/>
      <c r="D11" s="34"/>
      <c r="E11" s="34"/>
    </row>
    <row r="12" spans="1:7" x14ac:dyDescent="0.25">
      <c r="A12" s="58" t="s">
        <v>62</v>
      </c>
      <c r="B12" s="121" t="s">
        <v>63</v>
      </c>
      <c r="C12" s="121"/>
      <c r="D12" s="121"/>
    </row>
    <row r="13" spans="1:7" ht="46.5" x14ac:dyDescent="0.7">
      <c r="A13" s="59">
        <f>AVERAGE(Sheet1!D36,Sheet1!G36,Sheet1!J36,Sheet1!M36,Sheet1!P36,Sheet1!S36,Sheet1!V36,Sheet1!Y36,Sheet1!AB36,Sheet1!AE36)</f>
        <v>0</v>
      </c>
      <c r="B13" s="132" t="e">
        <f>AVERAGE(B27:L36)</f>
        <v>#DIV/0!</v>
      </c>
      <c r="C13" s="132"/>
      <c r="D13" s="132"/>
    </row>
    <row r="15" spans="1:7" x14ac:dyDescent="0.25">
      <c r="A15" s="60" t="s">
        <v>43</v>
      </c>
      <c r="B15" s="123" t="s">
        <v>44</v>
      </c>
      <c r="C15" s="123"/>
      <c r="D15" s="123"/>
      <c r="E15" s="55"/>
    </row>
    <row r="16" spans="1:7" ht="46.5" customHeight="1" x14ac:dyDescent="0.7">
      <c r="A16" s="77">
        <f>MAX(B23:L23)</f>
        <v>0</v>
      </c>
      <c r="B16" s="126">
        <v>0</v>
      </c>
      <c r="C16" s="126"/>
      <c r="D16" s="126"/>
      <c r="E16" s="38"/>
    </row>
    <row r="17" spans="1:14" x14ac:dyDescent="0.25">
      <c r="B17" s="124"/>
      <c r="C17" s="124"/>
      <c r="D17" s="124"/>
      <c r="E17" s="124"/>
    </row>
    <row r="18" spans="1:14" x14ac:dyDescent="0.25">
      <c r="A18" s="61" t="s">
        <v>38</v>
      </c>
      <c r="B18" s="118" t="s">
        <v>46</v>
      </c>
      <c r="C18" s="118"/>
      <c r="D18" s="118"/>
    </row>
    <row r="19" spans="1:14" ht="46.5" customHeight="1" x14ac:dyDescent="0.35">
      <c r="A19" s="62" t="str">
        <f>INDEX(A27:A36, MATCH(MAX(M27:M36), M27:M36, 0))</f>
        <v>Edward Wearing</v>
      </c>
      <c r="B19" s="119" t="str">
        <f>INDEX(A39:A48, MATCH(MAX(M39:M48), M39:M48, 0))</f>
        <v>Luke Daly</v>
      </c>
      <c r="C19" s="119"/>
      <c r="D19" s="119"/>
      <c r="E19" s="38"/>
    </row>
    <row r="20" spans="1:14" ht="15.75" thickBot="1" x14ac:dyDescent="0.3">
      <c r="C20" s="38"/>
      <c r="D20" s="38"/>
      <c r="E20" s="38"/>
    </row>
    <row r="21" spans="1:14" ht="15.75" thickBot="1" x14ac:dyDescent="0.3">
      <c r="A21" s="44" t="s">
        <v>31</v>
      </c>
      <c r="B21" s="66">
        <v>46048</v>
      </c>
      <c r="C21" s="66">
        <v>46074</v>
      </c>
      <c r="D21" s="66">
        <v>46102</v>
      </c>
      <c r="E21" s="66">
        <v>46138</v>
      </c>
      <c r="F21" s="66">
        <v>46165</v>
      </c>
      <c r="G21" s="66" t="s">
        <v>89</v>
      </c>
      <c r="H21" s="66">
        <v>46229</v>
      </c>
      <c r="I21" s="66">
        <v>46256</v>
      </c>
      <c r="J21" s="66">
        <v>46291</v>
      </c>
      <c r="K21" s="66">
        <v>46321</v>
      </c>
      <c r="L21" s="67" t="s">
        <v>67</v>
      </c>
      <c r="M21" s="45"/>
    </row>
    <row r="22" spans="1:14" x14ac:dyDescent="0.25">
      <c r="A22" s="47" t="s">
        <v>68</v>
      </c>
      <c r="B22" s="68">
        <v>20</v>
      </c>
      <c r="C22" s="69"/>
      <c r="D22" s="69"/>
      <c r="E22" s="69"/>
      <c r="F22" s="69"/>
      <c r="G22" s="69"/>
      <c r="H22" s="69"/>
      <c r="I22" s="69"/>
      <c r="J22" s="69"/>
      <c r="K22" s="69"/>
      <c r="L22" s="70"/>
      <c r="M22" s="46"/>
    </row>
    <row r="23" spans="1:14" x14ac:dyDescent="0.25">
      <c r="A23" s="47" t="s">
        <v>4</v>
      </c>
      <c r="B23" s="71">
        <v>0</v>
      </c>
      <c r="C23" s="72"/>
      <c r="D23" s="72"/>
      <c r="E23" s="72"/>
      <c r="F23" s="72"/>
      <c r="G23" s="72"/>
      <c r="H23" s="72"/>
      <c r="I23" s="72"/>
      <c r="J23" s="72"/>
      <c r="K23" s="72"/>
      <c r="L23" s="73"/>
      <c r="M23" s="46"/>
    </row>
    <row r="24" spans="1:14" ht="15.75" thickBot="1" x14ac:dyDescent="0.3">
      <c r="A24" s="47" t="s">
        <v>5</v>
      </c>
      <c r="B24" s="74">
        <v>10</v>
      </c>
      <c r="C24" s="75"/>
      <c r="D24" s="75"/>
      <c r="E24" s="75"/>
      <c r="F24" s="75"/>
      <c r="G24" s="75"/>
      <c r="H24" s="75"/>
      <c r="I24" s="75"/>
      <c r="J24" s="75"/>
      <c r="K24" s="75"/>
      <c r="L24" s="76"/>
      <c r="M24" s="46"/>
    </row>
    <row r="25" spans="1:14" x14ac:dyDescent="0.25">
      <c r="A25" s="80" t="s">
        <v>8</v>
      </c>
      <c r="B25" s="78">
        <f>Sheet1!C36-B22</f>
        <v>-20</v>
      </c>
      <c r="C25" s="78">
        <f>Sheet1!F36-C22</f>
        <v>0</v>
      </c>
      <c r="D25" s="78">
        <f>Sheet1!I36-D22</f>
        <v>0</v>
      </c>
      <c r="E25" s="78">
        <f>Sheet1!L36-E22</f>
        <v>0</v>
      </c>
      <c r="F25" s="78">
        <f>Sheet1!O36-F22</f>
        <v>0</v>
      </c>
      <c r="G25" s="78">
        <f>Sheet1!R36-G22</f>
        <v>0</v>
      </c>
      <c r="H25" s="78">
        <f>Sheet1!U36-H22</f>
        <v>0</v>
      </c>
      <c r="I25" s="78">
        <f>Sheet1!X36-I22</f>
        <v>0</v>
      </c>
      <c r="J25" s="78">
        <f>Sheet1!AA36-J22</f>
        <v>0</v>
      </c>
      <c r="K25" s="78">
        <f>Sheet1!AD36-K22</f>
        <v>0</v>
      </c>
      <c r="L25" s="78">
        <f>Sheet1!AG36-L22</f>
        <v>0</v>
      </c>
      <c r="M25" s="46"/>
    </row>
    <row r="26" spans="1:14" ht="15.75" thickBot="1" x14ac:dyDescent="0.3">
      <c r="A26" s="47" t="s">
        <v>36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46" t="s">
        <v>64</v>
      </c>
    </row>
    <row r="27" spans="1:14" x14ac:dyDescent="0.25">
      <c r="A27" s="48" t="s">
        <v>22</v>
      </c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2"/>
      <c r="M27" s="46">
        <f>SUM(B33:L33)</f>
        <v>0</v>
      </c>
      <c r="N27" s="33">
        <f>M33-M39</f>
        <v>0</v>
      </c>
    </row>
    <row r="28" spans="1:14" x14ac:dyDescent="0.25">
      <c r="A28" s="48" t="s">
        <v>23</v>
      </c>
      <c r="B28" s="9"/>
      <c r="C28" s="2"/>
      <c r="D28" s="2"/>
      <c r="E28" s="2"/>
      <c r="F28" s="2"/>
      <c r="G28" s="2"/>
      <c r="H28" s="2"/>
      <c r="I28" s="2"/>
      <c r="J28" s="2"/>
      <c r="K28" s="2"/>
      <c r="L28" s="13"/>
      <c r="M28" s="46">
        <f>SUM(B33:L33)</f>
        <v>0</v>
      </c>
      <c r="N28" s="33">
        <f>M33-M40</f>
        <v>0</v>
      </c>
    </row>
    <row r="29" spans="1:14" x14ac:dyDescent="0.25">
      <c r="A29" s="48" t="s">
        <v>24</v>
      </c>
      <c r="B29" s="9"/>
      <c r="C29" s="2"/>
      <c r="D29" s="2"/>
      <c r="E29" s="2"/>
      <c r="F29" s="2"/>
      <c r="G29" s="2"/>
      <c r="H29" s="2"/>
      <c r="I29" s="2"/>
      <c r="J29" s="2"/>
      <c r="K29" s="2"/>
      <c r="L29" s="13"/>
      <c r="M29" s="46">
        <f>SUM(B33:L33)</f>
        <v>0</v>
      </c>
      <c r="N29" s="33">
        <f>M33-M41</f>
        <v>-1</v>
      </c>
    </row>
    <row r="30" spans="1:14" x14ac:dyDescent="0.25">
      <c r="A30" s="48" t="s">
        <v>25</v>
      </c>
      <c r="B30" s="9"/>
      <c r="C30" s="2"/>
      <c r="D30" s="2"/>
      <c r="E30" s="2"/>
      <c r="F30" s="2"/>
      <c r="G30" s="2"/>
      <c r="H30" s="2"/>
      <c r="I30" s="2"/>
      <c r="J30" s="2"/>
      <c r="K30" s="2"/>
      <c r="L30" s="13"/>
      <c r="M30" s="46">
        <f>SUM(B33:L33)</f>
        <v>0</v>
      </c>
      <c r="N30" s="33">
        <f>M33-M42</f>
        <v>0</v>
      </c>
    </row>
    <row r="31" spans="1:14" x14ac:dyDescent="0.25">
      <c r="A31" s="48" t="s">
        <v>26</v>
      </c>
      <c r="B31" s="9"/>
      <c r="C31" s="2"/>
      <c r="D31" s="2"/>
      <c r="E31" s="2"/>
      <c r="F31" s="2"/>
      <c r="G31" s="2"/>
      <c r="H31" s="2"/>
      <c r="I31" s="2"/>
      <c r="J31" s="2"/>
      <c r="K31" s="2"/>
      <c r="L31" s="13"/>
      <c r="M31" s="46">
        <f>SUM(B33:L33)</f>
        <v>0</v>
      </c>
      <c r="N31" s="33">
        <f>M33-M43</f>
        <v>0</v>
      </c>
    </row>
    <row r="32" spans="1:14" x14ac:dyDescent="0.25">
      <c r="A32" s="48" t="s">
        <v>75</v>
      </c>
      <c r="B32" s="9"/>
      <c r="C32" s="2"/>
      <c r="D32" s="2"/>
      <c r="E32" s="2"/>
      <c r="F32" s="2"/>
      <c r="G32" s="2"/>
      <c r="H32" s="2"/>
      <c r="I32" s="2"/>
      <c r="J32" s="2"/>
      <c r="K32" s="2"/>
      <c r="L32" s="13"/>
      <c r="M32" s="46">
        <f>SUM(B33:L33)</f>
        <v>0</v>
      </c>
      <c r="N32" s="33">
        <f>M33-M44</f>
        <v>0</v>
      </c>
    </row>
    <row r="33" spans="1:14" x14ac:dyDescent="0.25">
      <c r="A33" s="48" t="s">
        <v>27</v>
      </c>
      <c r="B33" s="9"/>
      <c r="C33" s="2"/>
      <c r="D33" s="2"/>
      <c r="E33" s="2"/>
      <c r="F33" s="2"/>
      <c r="G33" s="2"/>
      <c r="H33" s="2"/>
      <c r="I33" s="2"/>
      <c r="J33" s="2"/>
      <c r="K33" s="2"/>
      <c r="L33" s="13"/>
      <c r="M33" s="46">
        <f t="shared" ref="M33:M35" si="0">SUM(B33:L33)</f>
        <v>0</v>
      </c>
      <c r="N33" s="33">
        <f t="shared" ref="N33:N36" si="1">M33-M45</f>
        <v>0</v>
      </c>
    </row>
    <row r="34" spans="1:14" x14ac:dyDescent="0.25">
      <c r="A34" s="48" t="s">
        <v>86</v>
      </c>
      <c r="B34" s="9"/>
      <c r="C34" s="2"/>
      <c r="D34" s="2"/>
      <c r="E34" s="2"/>
      <c r="F34" s="2"/>
      <c r="G34" s="2"/>
      <c r="H34" s="2"/>
      <c r="I34" s="2"/>
      <c r="J34" s="2"/>
      <c r="K34" s="2"/>
      <c r="L34" s="13"/>
      <c r="M34" s="46">
        <f t="shared" si="0"/>
        <v>0</v>
      </c>
      <c r="N34" s="33">
        <f>M34-M46</f>
        <v>0</v>
      </c>
    </row>
    <row r="35" spans="1:14" x14ac:dyDescent="0.25">
      <c r="A35" s="48" t="s">
        <v>28</v>
      </c>
      <c r="B35" s="9"/>
      <c r="C35" s="2"/>
      <c r="D35" s="2"/>
      <c r="E35" s="2"/>
      <c r="F35" s="2"/>
      <c r="G35" s="2"/>
      <c r="H35" s="2"/>
      <c r="I35" s="2"/>
      <c r="J35" s="2"/>
      <c r="K35" s="2"/>
      <c r="L35" s="13"/>
      <c r="M35" s="46">
        <f t="shared" si="0"/>
        <v>0</v>
      </c>
      <c r="N35" s="33">
        <f t="shared" si="1"/>
        <v>0</v>
      </c>
    </row>
    <row r="36" spans="1:14" ht="15.75" thickBot="1" x14ac:dyDescent="0.3">
      <c r="A36" s="48" t="s">
        <v>29</v>
      </c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2"/>
      <c r="M36" s="46">
        <f>SUM(B36:L36)</f>
        <v>0</v>
      </c>
      <c r="N36" s="33">
        <f t="shared" si="1"/>
        <v>0</v>
      </c>
    </row>
    <row r="37" spans="1:14" x14ac:dyDescent="0.25">
      <c r="A37" s="48" t="s">
        <v>64</v>
      </c>
      <c r="B37" s="51">
        <f t="shared" ref="B37:L37" si="2">SUM(B33:B36)</f>
        <v>0</v>
      </c>
      <c r="C37" s="51">
        <f t="shared" si="2"/>
        <v>0</v>
      </c>
      <c r="D37" s="51">
        <f t="shared" si="2"/>
        <v>0</v>
      </c>
      <c r="E37" s="51">
        <f t="shared" si="2"/>
        <v>0</v>
      </c>
      <c r="F37" s="51">
        <f t="shared" si="2"/>
        <v>0</v>
      </c>
      <c r="G37" s="51">
        <f t="shared" si="2"/>
        <v>0</v>
      </c>
      <c r="H37" s="51">
        <f t="shared" si="2"/>
        <v>0</v>
      </c>
      <c r="I37" s="51">
        <f t="shared" si="2"/>
        <v>0</v>
      </c>
      <c r="J37" s="51">
        <f t="shared" si="2"/>
        <v>0</v>
      </c>
      <c r="K37" s="51">
        <f t="shared" si="2"/>
        <v>0</v>
      </c>
      <c r="L37" s="51">
        <f t="shared" si="2"/>
        <v>0</v>
      </c>
      <c r="M37" s="46"/>
      <c r="N37" s="33"/>
    </row>
    <row r="38" spans="1:14" ht="15.75" thickBot="1" x14ac:dyDescent="0.3">
      <c r="A38" s="47" t="s">
        <v>37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46" t="s">
        <v>64</v>
      </c>
    </row>
    <row r="39" spans="1:14" x14ac:dyDescent="0.25">
      <c r="A39" s="48" t="s">
        <v>22</v>
      </c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2"/>
      <c r="M39" s="46">
        <f>SUM(B39:L39)</f>
        <v>0</v>
      </c>
    </row>
    <row r="40" spans="1:14" x14ac:dyDescent="0.25">
      <c r="A40" s="48" t="s">
        <v>23</v>
      </c>
      <c r="B40" s="9"/>
      <c r="C40" s="2"/>
      <c r="D40" s="2"/>
      <c r="E40" s="2"/>
      <c r="F40" s="2"/>
      <c r="G40" s="2"/>
      <c r="H40" s="2"/>
      <c r="I40" s="2"/>
      <c r="J40" s="2"/>
      <c r="K40" s="2"/>
      <c r="L40" s="13"/>
      <c r="M40" s="46">
        <f t="shared" ref="M40:M48" si="3">SUM(B40:L40)</f>
        <v>0</v>
      </c>
    </row>
    <row r="41" spans="1:14" x14ac:dyDescent="0.25">
      <c r="A41" s="48" t="s">
        <v>24</v>
      </c>
      <c r="B41" s="9">
        <v>1</v>
      </c>
      <c r="C41" s="2"/>
      <c r="D41" s="2"/>
      <c r="E41" s="2"/>
      <c r="F41" s="2"/>
      <c r="G41" s="2"/>
      <c r="H41" s="2"/>
      <c r="I41" s="2"/>
      <c r="J41" s="2"/>
      <c r="K41" s="2"/>
      <c r="L41" s="13"/>
      <c r="M41" s="46">
        <f t="shared" si="3"/>
        <v>1</v>
      </c>
    </row>
    <row r="42" spans="1:14" x14ac:dyDescent="0.25">
      <c r="A42" s="48" t="s">
        <v>25</v>
      </c>
      <c r="B42" s="9"/>
      <c r="C42" s="2"/>
      <c r="D42" s="2"/>
      <c r="E42" s="2"/>
      <c r="F42" s="2"/>
      <c r="G42" s="2"/>
      <c r="H42" s="2"/>
      <c r="I42" s="2"/>
      <c r="J42" s="2"/>
      <c r="K42" s="2"/>
      <c r="L42" s="13"/>
      <c r="M42" s="46">
        <f t="shared" si="3"/>
        <v>0</v>
      </c>
    </row>
    <row r="43" spans="1:14" x14ac:dyDescent="0.25">
      <c r="A43" s="48" t="s">
        <v>26</v>
      </c>
      <c r="B43" s="9"/>
      <c r="C43" s="2"/>
      <c r="D43" s="2"/>
      <c r="E43" s="2"/>
      <c r="F43" s="2"/>
      <c r="G43" s="2"/>
      <c r="H43" s="2"/>
      <c r="I43" s="2"/>
      <c r="J43" s="2"/>
      <c r="K43" s="2"/>
      <c r="L43" s="13"/>
      <c r="M43" s="46">
        <f t="shared" si="3"/>
        <v>0</v>
      </c>
    </row>
    <row r="44" spans="1:14" x14ac:dyDescent="0.25">
      <c r="A44" s="48" t="s">
        <v>75</v>
      </c>
      <c r="B44" s="9"/>
      <c r="C44" s="2"/>
      <c r="D44" s="2"/>
      <c r="E44" s="2"/>
      <c r="F44" s="2"/>
      <c r="G44" s="2"/>
      <c r="H44" s="2"/>
      <c r="I44" s="2"/>
      <c r="J44" s="2"/>
      <c r="K44" s="2"/>
      <c r="L44" s="13"/>
      <c r="M44" s="46">
        <f t="shared" si="3"/>
        <v>0</v>
      </c>
    </row>
    <row r="45" spans="1:14" x14ac:dyDescent="0.25">
      <c r="A45" s="48" t="s">
        <v>27</v>
      </c>
      <c r="B45" s="9"/>
      <c r="C45" s="2"/>
      <c r="D45" s="2"/>
      <c r="E45" s="2"/>
      <c r="F45" s="2"/>
      <c r="G45" s="2"/>
      <c r="H45" s="2"/>
      <c r="I45" s="2"/>
      <c r="J45" s="2"/>
      <c r="K45" s="2"/>
      <c r="L45" s="13"/>
      <c r="M45" s="46">
        <f t="shared" si="3"/>
        <v>0</v>
      </c>
    </row>
    <row r="46" spans="1:14" x14ac:dyDescent="0.25">
      <c r="A46" s="48" t="s">
        <v>86</v>
      </c>
      <c r="B46" s="9"/>
      <c r="C46" s="2"/>
      <c r="D46" s="2"/>
      <c r="E46" s="2"/>
      <c r="F46" s="2"/>
      <c r="G46" s="2"/>
      <c r="H46" s="2"/>
      <c r="I46" s="2"/>
      <c r="J46" s="2"/>
      <c r="K46" s="2"/>
      <c r="L46" s="13"/>
      <c r="M46" s="46">
        <f t="shared" si="3"/>
        <v>0</v>
      </c>
    </row>
    <row r="47" spans="1:14" x14ac:dyDescent="0.25">
      <c r="A47" s="48" t="s">
        <v>28</v>
      </c>
      <c r="B47" s="9"/>
      <c r="C47" s="2"/>
      <c r="D47" s="2"/>
      <c r="E47" s="2"/>
      <c r="F47" s="2"/>
      <c r="G47" s="2"/>
      <c r="H47" s="2"/>
      <c r="I47" s="2"/>
      <c r="J47" s="2"/>
      <c r="K47" s="2"/>
      <c r="L47" s="13"/>
      <c r="M47" s="46">
        <f t="shared" si="3"/>
        <v>0</v>
      </c>
    </row>
    <row r="48" spans="1:14" ht="15.75" thickBot="1" x14ac:dyDescent="0.3">
      <c r="A48" s="48" t="s">
        <v>29</v>
      </c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2"/>
      <c r="M48" s="46">
        <f t="shared" si="3"/>
        <v>0</v>
      </c>
    </row>
    <row r="49" spans="1:13" x14ac:dyDescent="0.25">
      <c r="A49" s="48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46"/>
    </row>
    <row r="50" spans="1:13" ht="15.75" thickBot="1" x14ac:dyDescent="0.3">
      <c r="A50" s="49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0"/>
    </row>
  </sheetData>
  <mergeCells count="14">
    <mergeCell ref="B18:D18"/>
    <mergeCell ref="B19:D19"/>
    <mergeCell ref="B10:D10"/>
    <mergeCell ref="B12:D12"/>
    <mergeCell ref="B13:D13"/>
    <mergeCell ref="B15:D15"/>
    <mergeCell ref="B16:D16"/>
    <mergeCell ref="B17:E17"/>
    <mergeCell ref="B9:D9"/>
    <mergeCell ref="E1:G1"/>
    <mergeCell ref="B3:D3"/>
    <mergeCell ref="B4:D4"/>
    <mergeCell ref="B6:D6"/>
    <mergeCell ref="B7:D7"/>
  </mergeCells>
  <pageMargins left="0.7" right="0.7" top="0.75" bottom="0.75" header="0.3" footer="0.3"/>
  <pageSetup scale="4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51FFF-C8A9-4797-8461-E1FBE4C419D1}">
  <sheetPr>
    <pageSetUpPr fitToPage="1"/>
  </sheetPr>
  <dimension ref="A1:N50"/>
  <sheetViews>
    <sheetView showGridLines="0" workbookViewId="0">
      <selection activeCell="B40" sqref="B40"/>
    </sheetView>
  </sheetViews>
  <sheetFormatPr defaultRowHeight="15" x14ac:dyDescent="0.25"/>
  <cols>
    <col min="1" max="1" width="28" bestFit="1" customWidth="1"/>
    <col min="2" max="12" width="12.7109375" customWidth="1"/>
  </cols>
  <sheetData>
    <row r="1" spans="1:7" ht="59.25" customHeight="1" x14ac:dyDescent="0.55000000000000004">
      <c r="A1" s="41" t="s">
        <v>90</v>
      </c>
      <c r="B1" s="37"/>
      <c r="C1" s="37"/>
      <c r="D1" s="37"/>
      <c r="E1" s="120"/>
      <c r="F1" s="120"/>
      <c r="G1" s="120"/>
    </row>
    <row r="2" spans="1:7" x14ac:dyDescent="0.25">
      <c r="A2" s="40" t="s">
        <v>91</v>
      </c>
    </row>
    <row r="3" spans="1:7" x14ac:dyDescent="0.25">
      <c r="A3" s="35" t="s">
        <v>39</v>
      </c>
      <c r="B3" s="125" t="s">
        <v>45</v>
      </c>
      <c r="C3" s="125"/>
      <c r="D3" s="125"/>
    </row>
    <row r="4" spans="1:7" ht="46.5" x14ac:dyDescent="0.7">
      <c r="A4" s="36">
        <f>Sheet1!Y17</f>
        <v>6</v>
      </c>
      <c r="B4" s="127">
        <f>Sheet1!F17</f>
        <v>1</v>
      </c>
      <c r="C4" s="127"/>
      <c r="D4" s="127"/>
      <c r="E4" s="38"/>
    </row>
    <row r="5" spans="1:7" ht="15" customHeight="1" x14ac:dyDescent="0.25"/>
    <row r="6" spans="1:7" x14ac:dyDescent="0.25">
      <c r="A6" s="53" t="s">
        <v>51</v>
      </c>
      <c r="B6" s="129" t="s">
        <v>41</v>
      </c>
      <c r="C6" s="129"/>
      <c r="D6" s="129"/>
    </row>
    <row r="7" spans="1:7" ht="46.5" x14ac:dyDescent="0.7">
      <c r="A7" s="54">
        <f>Sheet1!P17</f>
        <v>-20</v>
      </c>
      <c r="B7" s="128">
        <f>IFERROR(Sheet1!D17/Sheet1!B17, 0)</f>
        <v>0</v>
      </c>
      <c r="C7" s="128"/>
      <c r="D7" s="128"/>
      <c r="E7" s="43"/>
    </row>
    <row r="8" spans="1:7" ht="15" customHeight="1" x14ac:dyDescent="0.25">
      <c r="A8" s="43"/>
      <c r="B8" s="43"/>
      <c r="C8" s="43"/>
      <c r="D8" s="43"/>
      <c r="E8" s="43"/>
    </row>
    <row r="9" spans="1:7" x14ac:dyDescent="0.25">
      <c r="A9" s="56" t="s">
        <v>40</v>
      </c>
      <c r="B9" s="130" t="s">
        <v>42</v>
      </c>
      <c r="C9" s="130"/>
      <c r="D9" s="130"/>
      <c r="E9" s="43"/>
    </row>
    <row r="10" spans="1:7" ht="46.5" x14ac:dyDescent="0.7">
      <c r="A10" s="57">
        <f>IFERROR(AVERAGE(Sheet1!B37,Sheet1!E37,Sheet1!H37,Sheet1!K37,Sheet1!N37,Sheet1!Q37,Sheet1!T37,Sheet1!W37,Sheet1!Z37,Sheet1!AC37,Sheet1!AF37), 0)</f>
        <v>7</v>
      </c>
      <c r="B10" s="131">
        <f>IFERROR(AVERAGE(Sheet1!C37,Sheet1!F37,Sheet1!I37,Sheet1!L37,Sheet1!O37,Sheet1!R37,Sheet1!U37,Sheet1!X37,Sheet1!AA37,Sheet1!AD37,Sheet1!AG37), 0)</f>
        <v>0</v>
      </c>
      <c r="C10" s="131"/>
      <c r="D10" s="131"/>
      <c r="E10" s="39"/>
    </row>
    <row r="11" spans="1:7" x14ac:dyDescent="0.25">
      <c r="A11" s="42"/>
      <c r="B11" s="34"/>
      <c r="C11" s="34"/>
      <c r="D11" s="34"/>
      <c r="E11" s="34"/>
    </row>
    <row r="12" spans="1:7" x14ac:dyDescent="0.25">
      <c r="A12" s="58" t="s">
        <v>62</v>
      </c>
      <c r="B12" s="121" t="s">
        <v>63</v>
      </c>
      <c r="C12" s="121"/>
      <c r="D12" s="121"/>
    </row>
    <row r="13" spans="1:7" ht="46.5" x14ac:dyDescent="0.7">
      <c r="A13" s="59">
        <f>AVERAGE(Sheet1!D37,Sheet1!G37,Sheet1!J37,Sheet1!M37,Sheet1!P37,Sheet1!S37,Sheet1!V37,Sheet1!Y37,Sheet1!AB37,Sheet1!AE37)</f>
        <v>0</v>
      </c>
      <c r="B13" s="132" t="e">
        <f>AVERAGE(B27:L36)</f>
        <v>#DIV/0!</v>
      </c>
      <c r="C13" s="132"/>
      <c r="D13" s="132"/>
    </row>
    <row r="15" spans="1:7" x14ac:dyDescent="0.25">
      <c r="A15" s="60" t="s">
        <v>43</v>
      </c>
      <c r="B15" s="123" t="s">
        <v>44</v>
      </c>
      <c r="C15" s="123"/>
      <c r="D15" s="123"/>
      <c r="E15" s="55"/>
    </row>
    <row r="16" spans="1:7" ht="46.5" customHeight="1" x14ac:dyDescent="0.7">
      <c r="A16" s="77">
        <f>MAX(B23:L23)</f>
        <v>0</v>
      </c>
      <c r="B16" s="126">
        <v>0</v>
      </c>
      <c r="C16" s="126"/>
      <c r="D16" s="126"/>
      <c r="E16" s="38"/>
    </row>
    <row r="17" spans="1:14" x14ac:dyDescent="0.25">
      <c r="B17" s="124"/>
      <c r="C17" s="124"/>
      <c r="D17" s="124"/>
      <c r="E17" s="124"/>
    </row>
    <row r="18" spans="1:14" x14ac:dyDescent="0.25">
      <c r="A18" s="61" t="s">
        <v>38</v>
      </c>
      <c r="B18" s="118" t="s">
        <v>46</v>
      </c>
      <c r="C18" s="118"/>
      <c r="D18" s="118"/>
    </row>
    <row r="19" spans="1:14" ht="46.5" customHeight="1" x14ac:dyDescent="0.35">
      <c r="A19" s="62" t="str">
        <f>INDEX(A27:A36, MATCH(MAX(M27:M36), M27:M36, 0))</f>
        <v>Edward Wearing</v>
      </c>
      <c r="B19" s="119" t="str">
        <f>INDEX(A39:A48, MATCH(MAX(M39:M48), M39:M48, 0))</f>
        <v>Edward Wearing</v>
      </c>
      <c r="C19" s="119"/>
      <c r="D19" s="119"/>
      <c r="E19" s="38"/>
    </row>
    <row r="20" spans="1:14" ht="15.75" thickBot="1" x14ac:dyDescent="0.3">
      <c r="C20" s="38"/>
      <c r="D20" s="38"/>
      <c r="E20" s="38"/>
    </row>
    <row r="21" spans="1:14" ht="15.75" thickBot="1" x14ac:dyDescent="0.3">
      <c r="A21" s="44" t="s">
        <v>31</v>
      </c>
      <c r="B21" s="66">
        <v>46048</v>
      </c>
      <c r="C21" s="66">
        <v>46074</v>
      </c>
      <c r="D21" s="66">
        <v>46102</v>
      </c>
      <c r="E21" s="66">
        <v>46138</v>
      </c>
      <c r="F21" s="66">
        <v>46165</v>
      </c>
      <c r="G21" s="66" t="s">
        <v>92</v>
      </c>
      <c r="H21" s="66">
        <v>46229</v>
      </c>
      <c r="I21" s="66">
        <v>46256</v>
      </c>
      <c r="J21" s="66">
        <v>46291</v>
      </c>
      <c r="K21" s="66">
        <v>46321</v>
      </c>
      <c r="L21" s="67" t="s">
        <v>67</v>
      </c>
      <c r="M21" s="45"/>
    </row>
    <row r="22" spans="1:14" x14ac:dyDescent="0.25">
      <c r="A22" s="47" t="s">
        <v>68</v>
      </c>
      <c r="B22" s="68">
        <v>20</v>
      </c>
      <c r="C22" s="69"/>
      <c r="D22" s="69"/>
      <c r="E22" s="69"/>
      <c r="F22" s="69"/>
      <c r="G22" s="69"/>
      <c r="H22" s="69"/>
      <c r="I22" s="69"/>
      <c r="J22" s="69"/>
      <c r="K22" s="69"/>
      <c r="L22" s="70"/>
      <c r="M22" s="46"/>
    </row>
    <row r="23" spans="1:14" x14ac:dyDescent="0.25">
      <c r="A23" s="47" t="s">
        <v>4</v>
      </c>
      <c r="B23" s="71">
        <v>0</v>
      </c>
      <c r="C23" s="72"/>
      <c r="D23" s="72"/>
      <c r="E23" s="72"/>
      <c r="F23" s="72"/>
      <c r="G23" s="72"/>
      <c r="H23" s="72"/>
      <c r="I23" s="72"/>
      <c r="J23" s="72"/>
      <c r="K23" s="72"/>
      <c r="L23" s="73"/>
      <c r="M23" s="46"/>
    </row>
    <row r="24" spans="1:14" ht="15.75" thickBot="1" x14ac:dyDescent="0.3">
      <c r="A24" s="47" t="s">
        <v>5</v>
      </c>
      <c r="B24" s="74">
        <v>10</v>
      </c>
      <c r="C24" s="75"/>
      <c r="D24" s="75"/>
      <c r="E24" s="75"/>
      <c r="F24" s="75"/>
      <c r="G24" s="75"/>
      <c r="H24" s="75"/>
      <c r="I24" s="75"/>
      <c r="J24" s="75"/>
      <c r="K24" s="75"/>
      <c r="L24" s="76"/>
      <c r="M24" s="46"/>
    </row>
    <row r="25" spans="1:14" x14ac:dyDescent="0.25">
      <c r="A25" s="80" t="s">
        <v>8</v>
      </c>
      <c r="B25" s="78">
        <f>Sheet1!C37-B22</f>
        <v>-20</v>
      </c>
      <c r="C25" s="78">
        <f>Sheet1!F37-C22</f>
        <v>0</v>
      </c>
      <c r="D25" s="78">
        <f>Sheet1!I37-D22</f>
        <v>0</v>
      </c>
      <c r="E25" s="78">
        <f>Sheet1!L37-E22</f>
        <v>0</v>
      </c>
      <c r="F25" s="78">
        <f>Sheet1!O37-F22</f>
        <v>0</v>
      </c>
      <c r="G25" s="78">
        <f>Sheet1!R37-G22</f>
        <v>0</v>
      </c>
      <c r="H25" s="78">
        <f>Sheet1!U37-H22</f>
        <v>0</v>
      </c>
      <c r="I25" s="78">
        <f>Sheet1!X37-I22</f>
        <v>0</v>
      </c>
      <c r="J25" s="78">
        <f>Sheet1!AA37-J22</f>
        <v>0</v>
      </c>
      <c r="K25" s="78">
        <f>Sheet1!AD37-K22</f>
        <v>0</v>
      </c>
      <c r="L25" s="78">
        <f>Sheet1!AG37-L22</f>
        <v>0</v>
      </c>
      <c r="M25" s="46"/>
    </row>
    <row r="26" spans="1:14" ht="15.75" thickBot="1" x14ac:dyDescent="0.3">
      <c r="A26" s="47" t="s">
        <v>36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46" t="s">
        <v>64</v>
      </c>
    </row>
    <row r="27" spans="1:14" x14ac:dyDescent="0.25">
      <c r="A27" s="48" t="s">
        <v>22</v>
      </c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2"/>
      <c r="M27" s="46">
        <f>SUM(B34:L34)</f>
        <v>0</v>
      </c>
      <c r="N27" s="33">
        <f>M34-M39</f>
        <v>-1</v>
      </c>
    </row>
    <row r="28" spans="1:14" x14ac:dyDescent="0.25">
      <c r="A28" s="48" t="s">
        <v>23</v>
      </c>
      <c r="B28" s="9"/>
      <c r="C28" s="2"/>
      <c r="D28" s="2"/>
      <c r="E28" s="2"/>
      <c r="F28" s="2"/>
      <c r="G28" s="2"/>
      <c r="H28" s="2"/>
      <c r="I28" s="2"/>
      <c r="J28" s="2"/>
      <c r="K28" s="2"/>
      <c r="L28" s="13"/>
      <c r="M28" s="46">
        <f>SUM(B34:L34)</f>
        <v>0</v>
      </c>
      <c r="N28" s="33">
        <f>M34-M40</f>
        <v>0</v>
      </c>
    </row>
    <row r="29" spans="1:14" x14ac:dyDescent="0.25">
      <c r="A29" s="48" t="s">
        <v>24</v>
      </c>
      <c r="B29" s="9"/>
      <c r="C29" s="2"/>
      <c r="D29" s="2"/>
      <c r="E29" s="2"/>
      <c r="F29" s="2"/>
      <c r="G29" s="2"/>
      <c r="H29" s="2"/>
      <c r="I29" s="2"/>
      <c r="J29" s="2"/>
      <c r="K29" s="2"/>
      <c r="L29" s="13"/>
      <c r="M29" s="46">
        <f>SUM(B34:L34)</f>
        <v>0</v>
      </c>
      <c r="N29" s="33">
        <f>M34-M41</f>
        <v>0</v>
      </c>
    </row>
    <row r="30" spans="1:14" x14ac:dyDescent="0.25">
      <c r="A30" s="48" t="s">
        <v>25</v>
      </c>
      <c r="B30" s="9"/>
      <c r="C30" s="2"/>
      <c r="D30" s="2"/>
      <c r="E30" s="2"/>
      <c r="F30" s="2"/>
      <c r="G30" s="2"/>
      <c r="H30" s="2"/>
      <c r="I30" s="2"/>
      <c r="J30" s="2"/>
      <c r="K30" s="2"/>
      <c r="L30" s="13"/>
      <c r="M30" s="46">
        <f>SUM(B34:L34)</f>
        <v>0</v>
      </c>
      <c r="N30" s="33">
        <f>M34-M42</f>
        <v>0</v>
      </c>
    </row>
    <row r="31" spans="1:14" x14ac:dyDescent="0.25">
      <c r="A31" s="48" t="s">
        <v>26</v>
      </c>
      <c r="B31" s="9"/>
      <c r="C31" s="2"/>
      <c r="D31" s="2"/>
      <c r="E31" s="2"/>
      <c r="F31" s="2"/>
      <c r="G31" s="2"/>
      <c r="H31" s="2"/>
      <c r="I31" s="2"/>
      <c r="J31" s="2"/>
      <c r="K31" s="2"/>
      <c r="L31" s="13"/>
      <c r="M31" s="46">
        <f>SUM(B34:L34)</f>
        <v>0</v>
      </c>
      <c r="N31" s="33">
        <f>M34-M43</f>
        <v>0</v>
      </c>
    </row>
    <row r="32" spans="1:14" x14ac:dyDescent="0.25">
      <c r="A32" s="48" t="s">
        <v>75</v>
      </c>
      <c r="B32" s="9"/>
      <c r="C32" s="2"/>
      <c r="D32" s="2"/>
      <c r="E32" s="2"/>
      <c r="F32" s="2"/>
      <c r="G32" s="2"/>
      <c r="H32" s="2"/>
      <c r="I32" s="2"/>
      <c r="J32" s="2"/>
      <c r="K32" s="2"/>
      <c r="L32" s="13"/>
      <c r="M32" s="46">
        <f>SUM(B34:L34)</f>
        <v>0</v>
      </c>
      <c r="N32" s="33">
        <f>M34-M44</f>
        <v>0</v>
      </c>
    </row>
    <row r="33" spans="1:14" x14ac:dyDescent="0.25">
      <c r="A33" s="48" t="s">
        <v>27</v>
      </c>
      <c r="B33" s="9"/>
      <c r="C33" s="2"/>
      <c r="D33" s="2"/>
      <c r="E33" s="2"/>
      <c r="F33" s="2"/>
      <c r="G33" s="2"/>
      <c r="H33" s="2"/>
      <c r="I33" s="2"/>
      <c r="J33" s="2"/>
      <c r="K33" s="2"/>
      <c r="L33" s="13"/>
      <c r="M33" s="46">
        <f>SUM(B34:L34)</f>
        <v>0</v>
      </c>
      <c r="N33" s="33">
        <f>M34-M45</f>
        <v>0</v>
      </c>
    </row>
    <row r="34" spans="1:14" x14ac:dyDescent="0.25">
      <c r="A34" s="48" t="s">
        <v>86</v>
      </c>
      <c r="B34" s="9"/>
      <c r="C34" s="2"/>
      <c r="D34" s="2"/>
      <c r="E34" s="2"/>
      <c r="F34" s="2"/>
      <c r="G34" s="2"/>
      <c r="H34" s="2"/>
      <c r="I34" s="2"/>
      <c r="J34" s="2"/>
      <c r="K34" s="2"/>
      <c r="L34" s="13"/>
      <c r="M34" s="46">
        <f t="shared" ref="M34:M35" si="0">SUM(B34:L34)</f>
        <v>0</v>
      </c>
      <c r="N34" s="33">
        <f>M34-M46</f>
        <v>0</v>
      </c>
    </row>
    <row r="35" spans="1:14" x14ac:dyDescent="0.25">
      <c r="A35" s="48" t="s">
        <v>28</v>
      </c>
      <c r="B35" s="9"/>
      <c r="C35" s="2"/>
      <c r="D35" s="2"/>
      <c r="E35" s="2"/>
      <c r="F35" s="2"/>
      <c r="G35" s="2"/>
      <c r="H35" s="2"/>
      <c r="I35" s="2"/>
      <c r="J35" s="2"/>
      <c r="K35" s="2"/>
      <c r="L35" s="13"/>
      <c r="M35" s="46">
        <f t="shared" si="0"/>
        <v>0</v>
      </c>
      <c r="N35" s="33">
        <f t="shared" ref="N35:N36" si="1">M35-M47</f>
        <v>0</v>
      </c>
    </row>
    <row r="36" spans="1:14" ht="15.75" thickBot="1" x14ac:dyDescent="0.3">
      <c r="A36" s="48" t="s">
        <v>30</v>
      </c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2"/>
      <c r="M36" s="46">
        <f>SUM(B36:L36)</f>
        <v>0</v>
      </c>
      <c r="N36" s="33">
        <f t="shared" si="1"/>
        <v>0</v>
      </c>
    </row>
    <row r="37" spans="1:14" x14ac:dyDescent="0.25">
      <c r="A37" s="48" t="s">
        <v>64</v>
      </c>
      <c r="B37" s="51">
        <f>SUM(B27:B36)</f>
        <v>0</v>
      </c>
      <c r="C37" s="51">
        <f t="shared" ref="C37:L37" si="2">SUM(C27:C36)</f>
        <v>0</v>
      </c>
      <c r="D37" s="51">
        <f t="shared" si="2"/>
        <v>0</v>
      </c>
      <c r="E37" s="51">
        <f t="shared" si="2"/>
        <v>0</v>
      </c>
      <c r="F37" s="51">
        <f t="shared" si="2"/>
        <v>0</v>
      </c>
      <c r="G37" s="51">
        <f t="shared" si="2"/>
        <v>0</v>
      </c>
      <c r="H37" s="51">
        <f t="shared" si="2"/>
        <v>0</v>
      </c>
      <c r="I37" s="51">
        <f t="shared" si="2"/>
        <v>0</v>
      </c>
      <c r="J37" s="51">
        <f t="shared" si="2"/>
        <v>0</v>
      </c>
      <c r="K37" s="51">
        <f t="shared" si="2"/>
        <v>0</v>
      </c>
      <c r="L37" s="51">
        <f t="shared" si="2"/>
        <v>0</v>
      </c>
      <c r="M37" s="46"/>
      <c r="N37" s="33"/>
    </row>
    <row r="38" spans="1:14" ht="15.75" thickBot="1" x14ac:dyDescent="0.3">
      <c r="A38" s="47" t="s">
        <v>37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46" t="s">
        <v>64</v>
      </c>
    </row>
    <row r="39" spans="1:14" x14ac:dyDescent="0.25">
      <c r="A39" s="48" t="s">
        <v>22</v>
      </c>
      <c r="B39" s="30">
        <v>1</v>
      </c>
      <c r="C39" s="31"/>
      <c r="D39" s="31"/>
      <c r="E39" s="31"/>
      <c r="F39" s="31"/>
      <c r="G39" s="31"/>
      <c r="H39" s="31"/>
      <c r="I39" s="31"/>
      <c r="J39" s="31"/>
      <c r="K39" s="31"/>
      <c r="L39" s="32"/>
      <c r="M39" s="46">
        <f>SUM(B39:L39)</f>
        <v>1</v>
      </c>
    </row>
    <row r="40" spans="1:14" x14ac:dyDescent="0.25">
      <c r="A40" s="48" t="s">
        <v>23</v>
      </c>
      <c r="B40" s="9"/>
      <c r="C40" s="2"/>
      <c r="D40" s="2"/>
      <c r="E40" s="2"/>
      <c r="F40" s="2"/>
      <c r="G40" s="2"/>
      <c r="H40" s="2"/>
      <c r="I40" s="2"/>
      <c r="J40" s="2"/>
      <c r="K40" s="2"/>
      <c r="L40" s="13"/>
      <c r="M40" s="46">
        <f t="shared" ref="M40:M48" si="3">SUM(B40:L40)</f>
        <v>0</v>
      </c>
    </row>
    <row r="41" spans="1:14" x14ac:dyDescent="0.25">
      <c r="A41" s="48" t="s">
        <v>24</v>
      </c>
      <c r="B41" s="9"/>
      <c r="C41" s="2"/>
      <c r="D41" s="2"/>
      <c r="E41" s="2"/>
      <c r="F41" s="2"/>
      <c r="G41" s="2"/>
      <c r="H41" s="2"/>
      <c r="I41" s="2"/>
      <c r="J41" s="2"/>
      <c r="K41" s="2"/>
      <c r="L41" s="13"/>
      <c r="M41" s="46">
        <f t="shared" si="3"/>
        <v>0</v>
      </c>
    </row>
    <row r="42" spans="1:14" x14ac:dyDescent="0.25">
      <c r="A42" s="48" t="s">
        <v>25</v>
      </c>
      <c r="B42" s="9"/>
      <c r="C42" s="2"/>
      <c r="D42" s="2"/>
      <c r="E42" s="2"/>
      <c r="F42" s="2"/>
      <c r="G42" s="2"/>
      <c r="H42" s="2"/>
      <c r="I42" s="2"/>
      <c r="J42" s="2"/>
      <c r="K42" s="2"/>
      <c r="L42" s="13"/>
      <c r="M42" s="46">
        <f t="shared" si="3"/>
        <v>0</v>
      </c>
    </row>
    <row r="43" spans="1:14" x14ac:dyDescent="0.25">
      <c r="A43" s="48" t="s">
        <v>26</v>
      </c>
      <c r="B43" s="9"/>
      <c r="C43" s="2"/>
      <c r="D43" s="2"/>
      <c r="E43" s="2"/>
      <c r="F43" s="2"/>
      <c r="G43" s="2"/>
      <c r="H43" s="2"/>
      <c r="I43" s="2"/>
      <c r="J43" s="2"/>
      <c r="K43" s="2"/>
      <c r="L43" s="13"/>
      <c r="M43" s="46">
        <f t="shared" si="3"/>
        <v>0</v>
      </c>
    </row>
    <row r="44" spans="1:14" x14ac:dyDescent="0.25">
      <c r="A44" s="48" t="s">
        <v>75</v>
      </c>
      <c r="B44" s="9"/>
      <c r="C44" s="2"/>
      <c r="D44" s="2"/>
      <c r="E44" s="2"/>
      <c r="F44" s="2"/>
      <c r="G44" s="2"/>
      <c r="H44" s="2"/>
      <c r="I44" s="2"/>
      <c r="J44" s="2"/>
      <c r="K44" s="2"/>
      <c r="L44" s="13"/>
      <c r="M44" s="46">
        <f t="shared" si="3"/>
        <v>0</v>
      </c>
    </row>
    <row r="45" spans="1:14" x14ac:dyDescent="0.25">
      <c r="A45" s="48" t="s">
        <v>27</v>
      </c>
      <c r="B45" s="9"/>
      <c r="C45" s="2"/>
      <c r="D45" s="2"/>
      <c r="E45" s="2"/>
      <c r="F45" s="2"/>
      <c r="G45" s="2"/>
      <c r="H45" s="2"/>
      <c r="I45" s="2"/>
      <c r="J45" s="2"/>
      <c r="K45" s="2"/>
      <c r="L45" s="13"/>
      <c r="M45" s="46">
        <f t="shared" si="3"/>
        <v>0</v>
      </c>
    </row>
    <row r="46" spans="1:14" x14ac:dyDescent="0.25">
      <c r="A46" s="48" t="s">
        <v>86</v>
      </c>
      <c r="B46" s="9"/>
      <c r="C46" s="2"/>
      <c r="D46" s="2"/>
      <c r="E46" s="2"/>
      <c r="F46" s="2"/>
      <c r="G46" s="2"/>
      <c r="H46" s="2"/>
      <c r="I46" s="2"/>
      <c r="J46" s="2"/>
      <c r="K46" s="2"/>
      <c r="L46" s="13"/>
      <c r="M46" s="46">
        <f t="shared" si="3"/>
        <v>0</v>
      </c>
    </row>
    <row r="47" spans="1:14" x14ac:dyDescent="0.25">
      <c r="A47" s="48" t="s">
        <v>28</v>
      </c>
      <c r="B47" s="9"/>
      <c r="C47" s="2"/>
      <c r="D47" s="2"/>
      <c r="E47" s="2"/>
      <c r="F47" s="2"/>
      <c r="G47" s="2"/>
      <c r="H47" s="2"/>
      <c r="I47" s="2"/>
      <c r="J47" s="2"/>
      <c r="K47" s="2"/>
      <c r="L47" s="13"/>
      <c r="M47" s="46">
        <f t="shared" si="3"/>
        <v>0</v>
      </c>
    </row>
    <row r="48" spans="1:14" ht="15.75" thickBot="1" x14ac:dyDescent="0.3">
      <c r="A48" s="48" t="s">
        <v>30</v>
      </c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2"/>
      <c r="M48" s="46">
        <f t="shared" si="3"/>
        <v>0</v>
      </c>
    </row>
    <row r="49" spans="1:13" x14ac:dyDescent="0.25">
      <c r="A49" s="48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46"/>
    </row>
    <row r="50" spans="1:13" ht="15.75" thickBot="1" x14ac:dyDescent="0.3">
      <c r="A50" s="49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0"/>
    </row>
  </sheetData>
  <mergeCells count="14">
    <mergeCell ref="B18:D18"/>
    <mergeCell ref="B19:D19"/>
    <mergeCell ref="B10:D10"/>
    <mergeCell ref="B12:D12"/>
    <mergeCell ref="B13:D13"/>
    <mergeCell ref="B15:D15"/>
    <mergeCell ref="B16:D16"/>
    <mergeCell ref="B17:E17"/>
    <mergeCell ref="B9:D9"/>
    <mergeCell ref="E1:G1"/>
    <mergeCell ref="B3:D3"/>
    <mergeCell ref="B4:D4"/>
    <mergeCell ref="B6:D6"/>
    <mergeCell ref="B7:D7"/>
  </mergeCells>
  <pageMargins left="0.7" right="0.7" top="0.75" bottom="0.75" header="0.3" footer="0.3"/>
  <pageSetup scale="4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Home Page</vt:lpstr>
      <vt:lpstr>Sheet1</vt:lpstr>
      <vt:lpstr>Sheet3</vt:lpstr>
      <vt:lpstr>Edward Wearing </vt:lpstr>
      <vt:lpstr>Georgina Wearing</vt:lpstr>
      <vt:lpstr>Luke Daly</vt:lpstr>
      <vt:lpstr>Daniel Horne</vt:lpstr>
      <vt:lpstr>Darren Daly</vt:lpstr>
      <vt:lpstr>Chris Daly</vt:lpstr>
      <vt:lpstr>Stephen Flood</vt:lpstr>
      <vt:lpstr>Phil Landsberger</vt:lpstr>
      <vt:lpstr>Liam Duxbury</vt:lpstr>
      <vt:lpstr>Nathen Benson</vt:lpstr>
      <vt:lpstr>Dave Taylor</vt:lpstr>
      <vt:lpstr>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Wearing</dc:creator>
  <cp:lastModifiedBy>Edward Wearing</cp:lastModifiedBy>
  <cp:lastPrinted>2026-01-08T13:28:19Z</cp:lastPrinted>
  <dcterms:created xsi:type="dcterms:W3CDTF">2025-12-29T14:58:41Z</dcterms:created>
  <dcterms:modified xsi:type="dcterms:W3CDTF">2026-01-26T16:00:39Z</dcterms:modified>
</cp:coreProperties>
</file>